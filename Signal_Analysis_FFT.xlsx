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iyatrevino/Downloads/"/>
    </mc:Choice>
  </mc:AlternateContent>
  <xr:revisionPtr revIDLastSave="0" documentId="13_ncr:1_{65B86F47-A319-DA44-AC71-8D51D80FEF7E}" xr6:coauthVersionLast="47" xr6:coauthVersionMax="47" xr10:uidLastSave="{00000000-0000-0000-0000-000000000000}"/>
  <bookViews>
    <workbookView xWindow="-20" yWindow="780" windowWidth="33200" windowHeight="21360" xr2:uid="{E0CE7509-1760-F240-85CB-8486BFFB1A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2" i="1"/>
  <c r="I3" i="1"/>
  <c r="I4" i="1"/>
  <c r="D2" i="1"/>
  <c r="C2" i="1"/>
  <c r="F2" i="1" s="1"/>
  <c r="B2" i="1"/>
  <c r="A3" i="1"/>
  <c r="D3" i="1" s="1"/>
  <c r="E2" i="1" l="1"/>
  <c r="C3" i="1"/>
  <c r="B3" i="1"/>
  <c r="A4" i="1"/>
  <c r="D4" i="1" s="1"/>
  <c r="F3" i="1" l="1"/>
  <c r="E3" i="1"/>
  <c r="A5" i="1"/>
  <c r="D5" i="1" s="1"/>
  <c r="C4" i="1"/>
  <c r="B4" i="1"/>
  <c r="F4" i="1" l="1"/>
  <c r="E4" i="1"/>
  <c r="A6" i="1"/>
  <c r="D6" i="1" s="1"/>
  <c r="B5" i="1"/>
  <c r="C5" i="1"/>
  <c r="F5" i="1" l="1"/>
  <c r="E5" i="1"/>
  <c r="A7" i="1"/>
  <c r="D7" i="1" s="1"/>
  <c r="C6" i="1"/>
  <c r="B6" i="1"/>
  <c r="F6" i="1" l="1"/>
  <c r="E6" i="1"/>
  <c r="A8" i="1"/>
  <c r="D8" i="1" s="1"/>
  <c r="C7" i="1"/>
  <c r="B7" i="1"/>
  <c r="F7" i="1" l="1"/>
  <c r="E7" i="1"/>
  <c r="A9" i="1"/>
  <c r="D9" i="1" s="1"/>
  <c r="C8" i="1"/>
  <c r="B8" i="1"/>
  <c r="F8" i="1" l="1"/>
  <c r="E8" i="1"/>
  <c r="A10" i="1"/>
  <c r="D10" i="1" s="1"/>
  <c r="C9" i="1"/>
  <c r="B9" i="1"/>
  <c r="F9" i="1" l="1"/>
  <c r="E9" i="1"/>
  <c r="A11" i="1"/>
  <c r="D11" i="1" s="1"/>
  <c r="B10" i="1"/>
  <c r="C10" i="1"/>
  <c r="E10" i="1" l="1"/>
  <c r="F10" i="1"/>
  <c r="A12" i="1"/>
  <c r="D12" i="1" s="1"/>
  <c r="C11" i="1"/>
  <c r="B11" i="1"/>
  <c r="E11" i="1" l="1"/>
  <c r="F11" i="1"/>
  <c r="A13" i="1"/>
  <c r="D13" i="1" s="1"/>
  <c r="C12" i="1"/>
  <c r="B12" i="1"/>
  <c r="F12" i="1" l="1"/>
  <c r="E12" i="1"/>
  <c r="A14" i="1"/>
  <c r="D14" i="1" s="1"/>
  <c r="B13" i="1"/>
  <c r="C13" i="1"/>
  <c r="F13" i="1" l="1"/>
  <c r="E13" i="1"/>
  <c r="A15" i="1"/>
  <c r="D15" i="1" s="1"/>
  <c r="C14" i="1"/>
  <c r="B14" i="1"/>
  <c r="F14" i="1" l="1"/>
  <c r="E14" i="1"/>
  <c r="A16" i="1"/>
  <c r="D16" i="1" s="1"/>
  <c r="C15" i="1"/>
  <c r="B15" i="1"/>
  <c r="F15" i="1" l="1"/>
  <c r="E15" i="1"/>
  <c r="A17" i="1"/>
  <c r="D17" i="1" s="1"/>
  <c r="C16" i="1"/>
  <c r="B16" i="1"/>
  <c r="F16" i="1" l="1"/>
  <c r="E16" i="1"/>
  <c r="A18" i="1"/>
  <c r="D18" i="1" s="1"/>
  <c r="C17" i="1"/>
  <c r="B17" i="1"/>
  <c r="F17" i="1" l="1"/>
  <c r="E17" i="1"/>
  <c r="A19" i="1"/>
  <c r="D19" i="1" s="1"/>
  <c r="B18" i="1"/>
  <c r="C18" i="1"/>
  <c r="F18" i="1" l="1"/>
  <c r="E18" i="1"/>
  <c r="A20" i="1"/>
  <c r="D20" i="1" s="1"/>
  <c r="C19" i="1"/>
  <c r="B19" i="1"/>
  <c r="E19" i="1" l="1"/>
  <c r="F19" i="1"/>
  <c r="A21" i="1"/>
  <c r="D21" i="1" s="1"/>
  <c r="C20" i="1"/>
  <c r="B20" i="1"/>
  <c r="F20" i="1" l="1"/>
  <c r="E20" i="1"/>
  <c r="A22" i="1"/>
  <c r="D22" i="1" s="1"/>
  <c r="B21" i="1"/>
  <c r="C21" i="1"/>
  <c r="F21" i="1" l="1"/>
  <c r="E21" i="1"/>
  <c r="A23" i="1"/>
  <c r="D23" i="1" s="1"/>
  <c r="C22" i="1"/>
  <c r="B22" i="1"/>
  <c r="F22" i="1" l="1"/>
  <c r="E22" i="1"/>
  <c r="A24" i="1"/>
  <c r="D24" i="1" s="1"/>
  <c r="C23" i="1"/>
  <c r="B23" i="1"/>
  <c r="F23" i="1" l="1"/>
  <c r="E23" i="1"/>
  <c r="A25" i="1"/>
  <c r="D25" i="1" s="1"/>
  <c r="C24" i="1"/>
  <c r="B24" i="1"/>
  <c r="F24" i="1" l="1"/>
  <c r="E24" i="1"/>
  <c r="A26" i="1"/>
  <c r="D26" i="1" s="1"/>
  <c r="C25" i="1"/>
  <c r="B25" i="1"/>
  <c r="F25" i="1" l="1"/>
  <c r="E25" i="1"/>
  <c r="A27" i="1"/>
  <c r="D27" i="1" s="1"/>
  <c r="B26" i="1"/>
  <c r="C26" i="1"/>
  <c r="E26" i="1" l="1"/>
  <c r="F26" i="1"/>
  <c r="A28" i="1"/>
  <c r="D28" i="1" s="1"/>
  <c r="C27" i="1"/>
  <c r="B27" i="1"/>
  <c r="F27" i="1" l="1"/>
  <c r="E27" i="1"/>
  <c r="A29" i="1"/>
  <c r="D29" i="1" s="1"/>
  <c r="C28" i="1"/>
  <c r="B28" i="1"/>
  <c r="F28" i="1" l="1"/>
  <c r="E28" i="1"/>
  <c r="A30" i="1"/>
  <c r="D30" i="1" s="1"/>
  <c r="B29" i="1"/>
  <c r="C29" i="1"/>
  <c r="F29" i="1" l="1"/>
  <c r="E29" i="1"/>
  <c r="A31" i="1"/>
  <c r="D31" i="1" s="1"/>
  <c r="C30" i="1"/>
  <c r="B30" i="1"/>
  <c r="F30" i="1" l="1"/>
  <c r="E30" i="1"/>
  <c r="A32" i="1"/>
  <c r="D32" i="1" s="1"/>
  <c r="C31" i="1"/>
  <c r="B31" i="1"/>
  <c r="F31" i="1" l="1"/>
  <c r="E31" i="1"/>
  <c r="A33" i="1"/>
  <c r="D33" i="1" s="1"/>
  <c r="C32" i="1"/>
  <c r="B32" i="1"/>
  <c r="F32" i="1" l="1"/>
  <c r="E32" i="1"/>
  <c r="A34" i="1"/>
  <c r="D34" i="1" s="1"/>
  <c r="C33" i="1"/>
  <c r="B33" i="1"/>
  <c r="E33" i="1" l="1"/>
  <c r="F33" i="1"/>
  <c r="A35" i="1"/>
  <c r="D35" i="1" s="1"/>
  <c r="B34" i="1"/>
  <c r="C34" i="1"/>
  <c r="E34" i="1" l="1"/>
  <c r="F34" i="1"/>
  <c r="A36" i="1"/>
  <c r="D36" i="1" s="1"/>
  <c r="C35" i="1"/>
  <c r="B35" i="1"/>
  <c r="E35" i="1" l="1"/>
  <c r="F35" i="1"/>
  <c r="A37" i="1"/>
  <c r="D37" i="1" s="1"/>
  <c r="B36" i="1"/>
  <c r="C36" i="1"/>
  <c r="F36" i="1" l="1"/>
  <c r="E36" i="1"/>
  <c r="A38" i="1"/>
  <c r="D38" i="1" s="1"/>
  <c r="B37" i="1"/>
  <c r="C37" i="1"/>
  <c r="F37" i="1" l="1"/>
  <c r="E37" i="1"/>
  <c r="A39" i="1"/>
  <c r="D39" i="1" s="1"/>
  <c r="C38" i="1"/>
  <c r="B38" i="1"/>
  <c r="F38" i="1" l="1"/>
  <c r="E38" i="1"/>
  <c r="A40" i="1"/>
  <c r="D40" i="1" s="1"/>
  <c r="B39" i="1"/>
  <c r="C39" i="1"/>
  <c r="F39" i="1" l="1"/>
  <c r="E39" i="1"/>
  <c r="A41" i="1"/>
  <c r="D41" i="1" s="1"/>
  <c r="B40" i="1"/>
  <c r="C40" i="1"/>
  <c r="F40" i="1" l="1"/>
  <c r="E40" i="1"/>
  <c r="A42" i="1"/>
  <c r="D42" i="1" s="1"/>
  <c r="B41" i="1"/>
  <c r="C41" i="1"/>
  <c r="E41" i="1" l="1"/>
  <c r="F41" i="1"/>
  <c r="A43" i="1"/>
  <c r="D43" i="1" s="1"/>
  <c r="C42" i="1"/>
  <c r="B42" i="1"/>
  <c r="F42" i="1" l="1"/>
  <c r="E42" i="1"/>
  <c r="A44" i="1"/>
  <c r="D44" i="1" s="1"/>
  <c r="C43" i="1"/>
  <c r="B43" i="1"/>
  <c r="E43" i="1" l="1"/>
  <c r="F43" i="1"/>
  <c r="A45" i="1"/>
  <c r="D45" i="1" s="1"/>
  <c r="B44" i="1"/>
  <c r="C44" i="1"/>
  <c r="F44" i="1" l="1"/>
  <c r="E44" i="1"/>
  <c r="A46" i="1"/>
  <c r="D46" i="1" s="1"/>
  <c r="B45" i="1"/>
  <c r="C45" i="1"/>
  <c r="F45" i="1" l="1"/>
  <c r="E45" i="1"/>
  <c r="A47" i="1"/>
  <c r="D47" i="1" s="1"/>
  <c r="C46" i="1"/>
  <c r="B46" i="1"/>
  <c r="F46" i="1" l="1"/>
  <c r="E46" i="1"/>
  <c r="A48" i="1"/>
  <c r="D48" i="1" s="1"/>
  <c r="B47" i="1"/>
  <c r="C47" i="1"/>
  <c r="F47" i="1" l="1"/>
  <c r="E47" i="1"/>
  <c r="A49" i="1"/>
  <c r="D49" i="1" s="1"/>
  <c r="B48" i="1"/>
  <c r="C48" i="1"/>
  <c r="F48" i="1" l="1"/>
  <c r="E48" i="1"/>
  <c r="A50" i="1"/>
  <c r="D50" i="1" s="1"/>
  <c r="B49" i="1"/>
  <c r="C49" i="1"/>
  <c r="F49" i="1" l="1"/>
  <c r="E49" i="1"/>
  <c r="A51" i="1"/>
  <c r="D51" i="1" s="1"/>
  <c r="C50" i="1"/>
  <c r="B50" i="1"/>
  <c r="F50" i="1" l="1"/>
  <c r="E50" i="1"/>
  <c r="A52" i="1"/>
  <c r="D52" i="1" s="1"/>
  <c r="C51" i="1"/>
  <c r="B51" i="1"/>
  <c r="F51" i="1" l="1"/>
  <c r="E51" i="1"/>
  <c r="A53" i="1"/>
  <c r="D53" i="1" s="1"/>
  <c r="B52" i="1"/>
  <c r="C52" i="1"/>
  <c r="F52" i="1" l="1"/>
  <c r="E52" i="1"/>
  <c r="A54" i="1"/>
  <c r="D54" i="1" s="1"/>
  <c r="B53" i="1"/>
  <c r="C53" i="1"/>
  <c r="F53" i="1" l="1"/>
  <c r="E53" i="1"/>
  <c r="A55" i="1"/>
  <c r="D55" i="1" s="1"/>
  <c r="C54" i="1"/>
  <c r="B54" i="1"/>
  <c r="F54" i="1" l="1"/>
  <c r="E54" i="1"/>
  <c r="A56" i="1"/>
  <c r="D56" i="1" s="1"/>
  <c r="B55" i="1"/>
  <c r="C55" i="1"/>
  <c r="F55" i="1" l="1"/>
  <c r="E55" i="1"/>
  <c r="A57" i="1"/>
  <c r="D57" i="1" s="1"/>
  <c r="B56" i="1"/>
  <c r="C56" i="1"/>
  <c r="F56" i="1" l="1"/>
  <c r="E56" i="1"/>
  <c r="A58" i="1"/>
  <c r="D58" i="1" s="1"/>
  <c r="B57" i="1"/>
  <c r="C57" i="1"/>
  <c r="F57" i="1" l="1"/>
  <c r="E57" i="1"/>
  <c r="A59" i="1"/>
  <c r="D59" i="1" s="1"/>
  <c r="C58" i="1"/>
  <c r="B58" i="1"/>
  <c r="E58" i="1" l="1"/>
  <c r="F58" i="1"/>
  <c r="A60" i="1"/>
  <c r="D60" i="1" s="1"/>
  <c r="C59" i="1"/>
  <c r="B59" i="1"/>
  <c r="F59" i="1" l="1"/>
  <c r="E59" i="1"/>
  <c r="A61" i="1"/>
  <c r="D61" i="1" s="1"/>
  <c r="B60" i="1"/>
  <c r="C60" i="1"/>
  <c r="F60" i="1" l="1"/>
  <c r="E60" i="1"/>
  <c r="A62" i="1"/>
  <c r="D62" i="1" s="1"/>
  <c r="B61" i="1"/>
  <c r="C61" i="1"/>
  <c r="F61" i="1" l="1"/>
  <c r="E61" i="1"/>
  <c r="A63" i="1"/>
  <c r="D63" i="1" s="1"/>
  <c r="C62" i="1"/>
  <c r="B62" i="1"/>
  <c r="F62" i="1" l="1"/>
  <c r="E62" i="1"/>
  <c r="A64" i="1"/>
  <c r="D64" i="1" s="1"/>
  <c r="B63" i="1"/>
  <c r="C63" i="1"/>
  <c r="F63" i="1" l="1"/>
  <c r="E63" i="1"/>
  <c r="A65" i="1"/>
  <c r="D65" i="1" s="1"/>
  <c r="B64" i="1"/>
  <c r="C64" i="1"/>
  <c r="F64" i="1" l="1"/>
  <c r="E64" i="1"/>
  <c r="B65" i="1"/>
  <c r="C65" i="1"/>
  <c r="E65" i="1" l="1"/>
  <c r="F65" i="1"/>
</calcChain>
</file>

<file path=xl/sharedStrings.xml><?xml version="1.0" encoding="utf-8"?>
<sst xmlns="http://schemas.openxmlformats.org/spreadsheetml/2006/main" count="139" uniqueCount="139">
  <si>
    <t>Time(s)</t>
  </si>
  <si>
    <t>g3</t>
  </si>
  <si>
    <t>g2</t>
  </si>
  <si>
    <t>g1</t>
  </si>
  <si>
    <t>g4</t>
  </si>
  <si>
    <t>g_total</t>
  </si>
  <si>
    <t>9.618910</t>
  </si>
  <si>
    <t>10.157914-1.900352i</t>
  </si>
  <si>
    <t>12.699050-5.803482i</t>
  </si>
  <si>
    <t>42.167699-46.228109i</t>
  </si>
  <si>
    <t>-1.394466+14.395874i</t>
  </si>
  <si>
    <t>4.305617+7.897772i</t>
  </si>
  <si>
    <t>7.153832+6.428482i</t>
  </si>
  <si>
    <t>10.583346+6.408428i</t>
  </si>
  <si>
    <t>17.453427+7.981587i</t>
  </si>
  <si>
    <t>46.357394+16.944571i</t>
  </si>
  <si>
    <t>-68.754153-20.756606i</t>
  </si>
  <si>
    <t>-19.376265-4.932168i</t>
  </si>
  <si>
    <t>-11.148464-2.425587i</t>
  </si>
  <si>
    <t>-7.771630-1.458670i</t>
  </si>
  <si>
    <t>-5.942147-0.968163i</t>
  </si>
  <si>
    <t>-4.801991-0.681991i</t>
  </si>
  <si>
    <t>-4.028740-0.500000i</t>
  </si>
  <si>
    <t>-3.473967-0.377222i</t>
  </si>
  <si>
    <t>-3.059811-0.290723i</t>
  </si>
  <si>
    <t>-2.741520-0.227710i</t>
  </si>
  <si>
    <t>-2.491565-0.180556i</t>
  </si>
  <si>
    <t>-2.292115-0.144468i</t>
  </si>
  <si>
    <t>-2.131143-0.116308i</t>
  </si>
  <si>
    <t>-2.000266-0.093946i</t>
  </si>
  <si>
    <t>-1.893496-0.075893i</t>
  </si>
  <si>
    <t>-1.806467-0.061078i</t>
  </si>
  <si>
    <t>-1.735956-0.048713i</t>
  </si>
  <si>
    <t>-1.679561-0.038203i</t>
  </si>
  <si>
    <t>-1.635495-0.029085i</t>
  </si>
  <si>
    <t>-1.602440-0.020990i</t>
  </si>
  <si>
    <t>-1.579455-0.013614i</t>
  </si>
  <si>
    <t>-1.565906-0.006696i</t>
  </si>
  <si>
    <t>-1.561430</t>
  </si>
  <si>
    <t>-1.565906+0.006696i</t>
  </si>
  <si>
    <t>-1.579455+0.013614i</t>
  </si>
  <si>
    <t>-1.602440+0.020990i</t>
  </si>
  <si>
    <t>-1.635495+0.029085i</t>
  </si>
  <si>
    <t>-1.679561+0.038203i</t>
  </si>
  <si>
    <t>-1.735956+0.048713i</t>
  </si>
  <si>
    <t>-1.806467+0.061078i</t>
  </si>
  <si>
    <t>-1.893496+0.075893i</t>
  </si>
  <si>
    <t>-2.000266+0.093946i</t>
  </si>
  <si>
    <t>-2.131143+0.116308i</t>
  </si>
  <si>
    <t>-2.292115+0.144468i</t>
  </si>
  <si>
    <t>-2.491565+0.180556i</t>
  </si>
  <si>
    <t>-2.741520+0.227710i</t>
  </si>
  <si>
    <t>-3.059811+0.290723i</t>
  </si>
  <si>
    <t>-3.473967+0.377222i</t>
  </si>
  <si>
    <t>-4.028740+0.500000i</t>
  </si>
  <si>
    <t>-4.801991+0.681991i</t>
  </si>
  <si>
    <t>-5.942147+0.968163i</t>
  </si>
  <si>
    <t>-7.771630+1.458670i</t>
  </si>
  <si>
    <t>-11.148464+2.425587i</t>
  </si>
  <si>
    <t>-19.376265+4.932168i</t>
  </si>
  <si>
    <t>-68.754153+20.756606i</t>
  </si>
  <si>
    <t>46.357394-16.944571i</t>
  </si>
  <si>
    <t>17.453427-7.981587i</t>
  </si>
  <si>
    <t>10.583346-6.408428i</t>
  </si>
  <si>
    <t>7.153832-6.428482i</t>
  </si>
  <si>
    <t>4.305617-7.897772i</t>
  </si>
  <si>
    <t>-1.394466-14.395874i</t>
  </si>
  <si>
    <t>42.167699+46.228109i</t>
  </si>
  <si>
    <t>12.699050+5.803482i</t>
  </si>
  <si>
    <t>10.157914+1.900352i</t>
  </si>
  <si>
    <t>FFT g4</t>
  </si>
  <si>
    <t>Amplitude g4</t>
  </si>
  <si>
    <t>Frequency index k</t>
  </si>
  <si>
    <t>10.102598</t>
  </si>
  <si>
    <t>10.642495-1.882177i</t>
  </si>
  <si>
    <t>13.186341-5.766902i</t>
  </si>
  <si>
    <t>42.659613-46.172654i</t>
  </si>
  <si>
    <t>-0.895846+14.470940i</t>
  </si>
  <si>
    <t>4.813283+7.993498i</t>
  </si>
  <si>
    <t>7.673258+6.546293i</t>
  </si>
  <si>
    <t>11.117768+6.550221i</t>
  </si>
  <si>
    <t>18.006825+8.149883i</t>
  </si>
  <si>
    <t>46.934806+17.142732i</t>
  </si>
  <si>
    <t>-68.146148-20.524025i</t>
  </si>
  <si>
    <t>-18.728766-4.658868i</t>
  </si>
  <si>
    <t>-10.448939-2.102565i</t>
  </si>
  <si>
    <t>-7.001541-1.072503i</t>
  </si>
  <si>
    <t>-5.072306-0.497634i</t>
  </si>
  <si>
    <t>-3.782380-0.090691i</t>
  </si>
  <si>
    <t>-2.762428+0.282624i</t>
  </si>
  <si>
    <t>-1.731752+0.763440i</t>
  </si>
  <si>
    <t>-0.039180+1.791293i</t>
  </si>
  <si>
    <t>14.400421+12.126892i</t>
  </si>
  <si>
    <t>-6.547173-3.213617i</t>
  </si>
  <si>
    <t>-3.999886-1.457978i</t>
  </si>
  <si>
    <t>-3.173313-0.931897i</t>
  </si>
  <si>
    <t>-2.731381-0.668506i</t>
  </si>
  <si>
    <t>-2.446894-0.505468i</t>
  </si>
  <si>
    <t>-2.246913-0.391738i</t>
  </si>
  <si>
    <t>-2.100058-0.305888i</t>
  </si>
  <si>
    <t>-1.990302-0.237197i</t>
  </si>
  <si>
    <t>-1.908527-0.179606i</t>
  </si>
  <si>
    <t>-1.849200-0.129342i</t>
  </si>
  <si>
    <t>-1.808872-0.083849i</t>
  </si>
  <si>
    <t>-1.785434-0.041243i</t>
  </si>
  <si>
    <t>-1.777742</t>
  </si>
  <si>
    <t>-1.785434+0.041243i</t>
  </si>
  <si>
    <t>-1.808872+0.083849i</t>
  </si>
  <si>
    <t>-1.849200+0.129342i</t>
  </si>
  <si>
    <t>-1.908527+0.179606i</t>
  </si>
  <si>
    <t>-1.990302+0.237197i</t>
  </si>
  <si>
    <t>-2.100058+0.305888i</t>
  </si>
  <si>
    <t>-2.246913+0.391738i</t>
  </si>
  <si>
    <t>-2.446894+0.505468i</t>
  </si>
  <si>
    <t>-2.731381+0.668506i</t>
  </si>
  <si>
    <t>-3.173313+0.931897i</t>
  </si>
  <si>
    <t>-3.999886+1.457978i</t>
  </si>
  <si>
    <t>-6.547173+3.213617i</t>
  </si>
  <si>
    <t>14.400421-12.126892i</t>
  </si>
  <si>
    <t>-0.039180-1.791293i</t>
  </si>
  <si>
    <t>-1.731752-0.763440i</t>
  </si>
  <si>
    <t>-2.762428-0.282624i</t>
  </si>
  <si>
    <t>-3.782380+0.090691i</t>
  </si>
  <si>
    <t>-5.072306+0.497634i</t>
  </si>
  <si>
    <t>-7.001541+1.072503i</t>
  </si>
  <si>
    <t>-10.448939+2.102565i</t>
  </si>
  <si>
    <t>-18.728766+4.658868i</t>
  </si>
  <si>
    <t>-68.146148+20.524025i</t>
  </si>
  <si>
    <t>46.934806-17.142732i</t>
  </si>
  <si>
    <t>18.006825-8.149883i</t>
  </si>
  <si>
    <t>11.117768-6.550221i</t>
  </si>
  <si>
    <t>7.673258-6.546293i</t>
  </si>
  <si>
    <t>4.813283-7.993498i</t>
  </si>
  <si>
    <t>-0.895846-14.470940i</t>
  </si>
  <si>
    <t>42.659613+46.172654i</t>
  </si>
  <si>
    <t>13.186341+5.766902i</t>
  </si>
  <si>
    <t>10.642495+1.882177i</t>
  </si>
  <si>
    <t>FFT g_total</t>
  </si>
  <si>
    <t>Amplitude g_total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</si>
</sst>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a.</a:t>
            </a:r>
            <a:r>
              <a:rPr lang="en-US" baseline="0"/>
              <a:t> </a:t>
            </a:r>
            <a:r>
              <a:rPr lang="en-US"/>
              <a:t>Individual Signals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Sheet1!$A$2:$A$65</c:f>
              <c:numCache>
                <c:formatCode>General</c:formatCode>
                <c:ptCount val="6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</c:numCache>
            </c:numRef>
          </c:xVal>
          <c:yVal>
            <c:numRef>
              <c:f>Sheet1!$B$2:$B$65</c:f>
              <c:numCache>
                <c:formatCode>General</c:formatCode>
                <c:ptCount val="64"/>
                <c:pt idx="0">
                  <c:v>0</c:v>
                </c:pt>
                <c:pt idx="1">
                  <c:v>0.61803398874989479</c:v>
                </c:pt>
                <c:pt idx="2">
                  <c:v>1.1755705045849463</c:v>
                </c:pt>
                <c:pt idx="3">
                  <c:v>1.6180339887498949</c:v>
                </c:pt>
                <c:pt idx="4">
                  <c:v>1.9021130325903071</c:v>
                </c:pt>
                <c:pt idx="5">
                  <c:v>2</c:v>
                </c:pt>
                <c:pt idx="6">
                  <c:v>1.9021130325903073</c:v>
                </c:pt>
                <c:pt idx="7">
                  <c:v>1.6180339887498949</c:v>
                </c:pt>
                <c:pt idx="8">
                  <c:v>1.1755705045849465</c:v>
                </c:pt>
                <c:pt idx="9">
                  <c:v>0.6180339887498959</c:v>
                </c:pt>
                <c:pt idx="10">
                  <c:v>1.1331077795295959E-15</c:v>
                </c:pt>
                <c:pt idx="11">
                  <c:v>-0.61803398874989379</c:v>
                </c:pt>
                <c:pt idx="12">
                  <c:v>-1.1755705045849461</c:v>
                </c:pt>
                <c:pt idx="13">
                  <c:v>-1.6180339887498947</c:v>
                </c:pt>
                <c:pt idx="14">
                  <c:v>-1.9021130325903071</c:v>
                </c:pt>
                <c:pt idx="15">
                  <c:v>-2</c:v>
                </c:pt>
                <c:pt idx="16">
                  <c:v>-1.9021130325903066</c:v>
                </c:pt>
                <c:pt idx="17">
                  <c:v>-1.618033988749894</c:v>
                </c:pt>
                <c:pt idx="18">
                  <c:v>-1.1755705045849438</c:v>
                </c:pt>
                <c:pt idx="19">
                  <c:v>-0.6180339887498919</c:v>
                </c:pt>
                <c:pt idx="20">
                  <c:v>3.0628549591415595E-15</c:v>
                </c:pt>
                <c:pt idx="21">
                  <c:v>0.61803398874989779</c:v>
                </c:pt>
                <c:pt idx="22">
                  <c:v>1.1755705045849487</c:v>
                </c:pt>
                <c:pt idx="23">
                  <c:v>1.6180339887498976</c:v>
                </c:pt>
                <c:pt idx="24">
                  <c:v>1.9021130325903086</c:v>
                </c:pt>
                <c:pt idx="25">
                  <c:v>2</c:v>
                </c:pt>
                <c:pt idx="26">
                  <c:v>1.9021130325903051</c:v>
                </c:pt>
                <c:pt idx="27">
                  <c:v>1.6180339887498911</c:v>
                </c:pt>
                <c:pt idx="28">
                  <c:v>1.1755705045849412</c:v>
                </c:pt>
                <c:pt idx="29">
                  <c:v>0.6180339887498888</c:v>
                </c:pt>
                <c:pt idx="30">
                  <c:v>-6.3706392781125902E-15</c:v>
                </c:pt>
                <c:pt idx="31">
                  <c:v>-0.61803398874990423</c:v>
                </c:pt>
                <c:pt idx="32">
                  <c:v>-1.1755705045849543</c:v>
                </c:pt>
                <c:pt idx="33">
                  <c:v>-1.6180339887499007</c:v>
                </c:pt>
                <c:pt idx="34">
                  <c:v>-1.9021130325903102</c:v>
                </c:pt>
                <c:pt idx="35">
                  <c:v>-2</c:v>
                </c:pt>
                <c:pt idx="36">
                  <c:v>-1.9021130325903042</c:v>
                </c:pt>
                <c:pt idx="37">
                  <c:v>-1.6180339887498891</c:v>
                </c:pt>
                <c:pt idx="38">
                  <c:v>-1.1755705045849356</c:v>
                </c:pt>
                <c:pt idx="39">
                  <c:v>-0.61803398874988225</c:v>
                </c:pt>
                <c:pt idx="40">
                  <c:v>9.67842359708362E-15</c:v>
                </c:pt>
                <c:pt idx="41">
                  <c:v>0.61803398874990401</c:v>
                </c:pt>
                <c:pt idx="42">
                  <c:v>1.1755705045849512</c:v>
                </c:pt>
                <c:pt idx="43">
                  <c:v>1.6180339887498962</c:v>
                </c:pt>
                <c:pt idx="44">
                  <c:v>1.902113032590308</c:v>
                </c:pt>
                <c:pt idx="45">
                  <c:v>2</c:v>
                </c:pt>
                <c:pt idx="46">
                  <c:v>1.9021130325903086</c:v>
                </c:pt>
                <c:pt idx="47">
                  <c:v>1.6180339887498976</c:v>
                </c:pt>
                <c:pt idx="48">
                  <c:v>1.1755705045849529</c:v>
                </c:pt>
                <c:pt idx="49">
                  <c:v>0.61803398874990612</c:v>
                </c:pt>
                <c:pt idx="50">
                  <c:v>1.1882787835548856E-14</c:v>
                </c:pt>
                <c:pt idx="51">
                  <c:v>-0.61803398874988358</c:v>
                </c:pt>
                <c:pt idx="52">
                  <c:v>-1.1755705045849338</c:v>
                </c:pt>
                <c:pt idx="53">
                  <c:v>-1.6180339887498836</c:v>
                </c:pt>
                <c:pt idx="54">
                  <c:v>-1.9021130325903002</c:v>
                </c:pt>
                <c:pt idx="55">
                  <c:v>-2</c:v>
                </c:pt>
                <c:pt idx="56">
                  <c:v>-1.9021130325903142</c:v>
                </c:pt>
                <c:pt idx="57">
                  <c:v>-1.6180339887499102</c:v>
                </c:pt>
                <c:pt idx="58">
                  <c:v>-1.1755705045849705</c:v>
                </c:pt>
                <c:pt idx="59">
                  <c:v>-0.61803398874992665</c:v>
                </c:pt>
                <c:pt idx="60">
                  <c:v>-3.6996712946981831E-14</c:v>
                </c:pt>
                <c:pt idx="61">
                  <c:v>0.61803398874985627</c:v>
                </c:pt>
                <c:pt idx="62">
                  <c:v>1.1755705045849163</c:v>
                </c:pt>
                <c:pt idx="63">
                  <c:v>1.6180339887498709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7-E744-AAC7-71C292AC03E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Sheet1!$A$2:$A$65</c:f>
              <c:numCache>
                <c:formatCode>General</c:formatCode>
                <c:ptCount val="6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</c:numCache>
            </c:numRef>
          </c:xVal>
          <c:yVal>
            <c:numRef>
              <c:f>Sheet1!$C$2:$C$65</c:f>
              <c:numCache>
                <c:formatCode>General</c:formatCode>
                <c:ptCount val="64"/>
                <c:pt idx="0">
                  <c:v>0</c:v>
                </c:pt>
                <c:pt idx="1">
                  <c:v>2.4270509831248424</c:v>
                </c:pt>
                <c:pt idx="2">
                  <c:v>2.8531695488854609</c:v>
                </c:pt>
                <c:pt idx="3">
                  <c:v>0.92705098312484135</c:v>
                </c:pt>
                <c:pt idx="4">
                  <c:v>-1.7633557568774192</c:v>
                </c:pt>
                <c:pt idx="5">
                  <c:v>-3</c:v>
                </c:pt>
                <c:pt idx="6">
                  <c:v>-1.7633557568774201</c:v>
                </c:pt>
                <c:pt idx="7">
                  <c:v>0.92705098312484147</c:v>
                </c:pt>
                <c:pt idx="8">
                  <c:v>2.8531695488854596</c:v>
                </c:pt>
                <c:pt idx="9">
                  <c:v>2.4270509831248432</c:v>
                </c:pt>
                <c:pt idx="10">
                  <c:v>6.4312526374333693E-15</c:v>
                </c:pt>
                <c:pt idx="11">
                  <c:v>-2.4270509831248384</c:v>
                </c:pt>
                <c:pt idx="12">
                  <c:v>-2.8531695488854614</c:v>
                </c:pt>
                <c:pt idx="13">
                  <c:v>-0.92705098312484369</c:v>
                </c:pt>
                <c:pt idx="14">
                  <c:v>1.7633557568774223</c:v>
                </c:pt>
                <c:pt idx="15">
                  <c:v>3</c:v>
                </c:pt>
                <c:pt idx="16">
                  <c:v>1.7633557568774121</c:v>
                </c:pt>
                <c:pt idx="17">
                  <c:v>-0.92705098312485568</c:v>
                </c:pt>
                <c:pt idx="18">
                  <c:v>-2.8531695488854631</c:v>
                </c:pt>
                <c:pt idx="19">
                  <c:v>-2.4270509831248339</c:v>
                </c:pt>
                <c:pt idx="20">
                  <c:v>8.453776797936267E-15</c:v>
                </c:pt>
                <c:pt idx="21">
                  <c:v>2.4270509831248503</c:v>
                </c:pt>
                <c:pt idx="22">
                  <c:v>2.8531695488854547</c:v>
                </c:pt>
                <c:pt idx="23">
                  <c:v>0.92705098312482948</c:v>
                </c:pt>
                <c:pt idx="24">
                  <c:v>-1.7633557568774343</c:v>
                </c:pt>
                <c:pt idx="25">
                  <c:v>-3</c:v>
                </c:pt>
                <c:pt idx="26">
                  <c:v>-1.7633557568773957</c:v>
                </c:pt>
                <c:pt idx="27">
                  <c:v>0.92705098312486478</c:v>
                </c:pt>
                <c:pt idx="28">
                  <c:v>2.8531695488854698</c:v>
                </c:pt>
                <c:pt idx="29">
                  <c:v>2.4270509831248224</c:v>
                </c:pt>
                <c:pt idx="30">
                  <c:v>-3.9326017787908156E-14</c:v>
                </c:pt>
                <c:pt idx="31">
                  <c:v>-2.4270509831248623</c:v>
                </c:pt>
                <c:pt idx="32">
                  <c:v>-2.8531695488854485</c:v>
                </c:pt>
                <c:pt idx="33">
                  <c:v>-0.92705098312480005</c:v>
                </c:pt>
                <c:pt idx="34">
                  <c:v>1.7633557568774594</c:v>
                </c:pt>
                <c:pt idx="35">
                  <c:v>3</c:v>
                </c:pt>
                <c:pt idx="36">
                  <c:v>1.7633557568773881</c:v>
                </c:pt>
                <c:pt idx="37">
                  <c:v>-0.92705098312489409</c:v>
                </c:pt>
                <c:pt idx="38">
                  <c:v>-2.853169548885476</c:v>
                </c:pt>
                <c:pt idx="39">
                  <c:v>-2.4270509831248042</c:v>
                </c:pt>
                <c:pt idx="40">
                  <c:v>3.822383566867554E-14</c:v>
                </c:pt>
                <c:pt idx="41">
                  <c:v>2.4270509831248619</c:v>
                </c:pt>
                <c:pt idx="42">
                  <c:v>2.853169548885452</c:v>
                </c:pt>
                <c:pt idx="43">
                  <c:v>0.92705098312482137</c:v>
                </c:pt>
                <c:pt idx="44">
                  <c:v>-1.7633557568774154</c:v>
                </c:pt>
                <c:pt idx="45">
                  <c:v>-3</c:v>
                </c:pt>
                <c:pt idx="46">
                  <c:v>-1.7633557568774321</c:v>
                </c:pt>
                <c:pt idx="47">
                  <c:v>0.92705098312482215</c:v>
                </c:pt>
                <c:pt idx="48">
                  <c:v>2.8531695488854525</c:v>
                </c:pt>
                <c:pt idx="49">
                  <c:v>2.4270509831248734</c:v>
                </c:pt>
                <c:pt idx="50">
                  <c:v>5.8801615778170608E-14</c:v>
                </c:pt>
                <c:pt idx="51">
                  <c:v>-2.4270509831248042</c:v>
                </c:pt>
                <c:pt idx="52">
                  <c:v>-2.8531695488854822</c:v>
                </c:pt>
                <c:pt idx="53">
                  <c:v>-0.92705098312493395</c:v>
                </c:pt>
                <c:pt idx="54">
                  <c:v>1.763355756877337</c:v>
                </c:pt>
                <c:pt idx="55">
                  <c:v>3</c:v>
                </c:pt>
                <c:pt idx="56">
                  <c:v>1.7633557568775107</c:v>
                </c:pt>
                <c:pt idx="57">
                  <c:v>-0.92705098312473</c:v>
                </c:pt>
                <c:pt idx="58">
                  <c:v>-2.8531695488854161</c:v>
                </c:pt>
                <c:pt idx="59">
                  <c:v>-2.4270509831249307</c:v>
                </c:pt>
                <c:pt idx="60">
                  <c:v>-1.5582706722501674E-13</c:v>
                </c:pt>
                <c:pt idx="61">
                  <c:v>2.4270509831247473</c:v>
                </c:pt>
                <c:pt idx="62">
                  <c:v>2.8531695488855187</c:v>
                </c:pt>
                <c:pt idx="63">
                  <c:v>0.92705098312502621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C7-E744-AAC7-71C292AC03E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Sheet1!$A$2:$A$65</c:f>
              <c:numCache>
                <c:formatCode>General</c:formatCode>
                <c:ptCount val="6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</c:numCache>
            </c:numRef>
          </c:xVal>
          <c:yVal>
            <c:numRef>
              <c:f>Sheet1!$D$2:$D$65</c:f>
              <c:numCache>
                <c:formatCode>General</c:formatCode>
                <c:ptCount val="64"/>
                <c:pt idx="0">
                  <c:v>0.7</c:v>
                </c:pt>
                <c:pt idx="1">
                  <c:v>-0.21631189606246312</c:v>
                </c:pt>
                <c:pt idx="2">
                  <c:v>-0.56631189606246313</c:v>
                </c:pt>
                <c:pt idx="3">
                  <c:v>0.56631189606246346</c:v>
                </c:pt>
                <c:pt idx="4">
                  <c:v>0.2163118960624634</c:v>
                </c:pt>
                <c:pt idx="5">
                  <c:v>-0.7</c:v>
                </c:pt>
                <c:pt idx="6">
                  <c:v>0.2163118960624629</c:v>
                </c:pt>
                <c:pt idx="7">
                  <c:v>0.56631189606246335</c:v>
                </c:pt>
                <c:pt idx="8">
                  <c:v>-0.56631189606246213</c:v>
                </c:pt>
                <c:pt idx="9">
                  <c:v>-0.21631189606246362</c:v>
                </c:pt>
                <c:pt idx="10">
                  <c:v>0.7</c:v>
                </c:pt>
                <c:pt idx="11">
                  <c:v>-0.21631189606246029</c:v>
                </c:pt>
                <c:pt idx="12">
                  <c:v>-0.56631189606246346</c:v>
                </c:pt>
                <c:pt idx="13">
                  <c:v>0.56631189606246279</c:v>
                </c:pt>
                <c:pt idx="14">
                  <c:v>0.21631189606246148</c:v>
                </c:pt>
                <c:pt idx="15">
                  <c:v>-0.7</c:v>
                </c:pt>
                <c:pt idx="16">
                  <c:v>0.21631189606246712</c:v>
                </c:pt>
                <c:pt idx="17">
                  <c:v>0.56631189606245924</c:v>
                </c:pt>
                <c:pt idx="18">
                  <c:v>-0.56631189606246546</c:v>
                </c:pt>
                <c:pt idx="19">
                  <c:v>-0.21631189606245702</c:v>
                </c:pt>
                <c:pt idx="20">
                  <c:v>0.7</c:v>
                </c:pt>
                <c:pt idx="21">
                  <c:v>-0.21631189606246926</c:v>
                </c:pt>
                <c:pt idx="22">
                  <c:v>-0.56631189606245802</c:v>
                </c:pt>
                <c:pt idx="23">
                  <c:v>0.56631189606246679</c:v>
                </c:pt>
                <c:pt idx="24">
                  <c:v>0.21631189606245488</c:v>
                </c:pt>
                <c:pt idx="25">
                  <c:v>-0.7</c:v>
                </c:pt>
                <c:pt idx="26">
                  <c:v>0.21631189606247611</c:v>
                </c:pt>
                <c:pt idx="27">
                  <c:v>0.56631189606245669</c:v>
                </c:pt>
                <c:pt idx="28">
                  <c:v>-0.56631189606247112</c:v>
                </c:pt>
                <c:pt idx="29">
                  <c:v>-0.21631189606244805</c:v>
                </c:pt>
                <c:pt idx="30">
                  <c:v>0.7</c:v>
                </c:pt>
                <c:pt idx="31">
                  <c:v>-0.21631189606247825</c:v>
                </c:pt>
                <c:pt idx="32">
                  <c:v>-0.56631189606245247</c:v>
                </c:pt>
                <c:pt idx="33">
                  <c:v>0.56631189606247534</c:v>
                </c:pt>
                <c:pt idx="34">
                  <c:v>0.21631189606244122</c:v>
                </c:pt>
                <c:pt idx="35">
                  <c:v>-0.7</c:v>
                </c:pt>
                <c:pt idx="36">
                  <c:v>0.21631189606248033</c:v>
                </c:pt>
                <c:pt idx="37">
                  <c:v>0.56631189606244814</c:v>
                </c:pt>
                <c:pt idx="38">
                  <c:v>-0.56631189606247667</c:v>
                </c:pt>
                <c:pt idx="39">
                  <c:v>-0.21631189606243434</c:v>
                </c:pt>
                <c:pt idx="40">
                  <c:v>0.7</c:v>
                </c:pt>
                <c:pt idx="41">
                  <c:v>-0.21631189606247775</c:v>
                </c:pt>
                <c:pt idx="42">
                  <c:v>-0.56631189606245569</c:v>
                </c:pt>
                <c:pt idx="43">
                  <c:v>0.56631189606246912</c:v>
                </c:pt>
                <c:pt idx="44">
                  <c:v>0.21631189606246534</c:v>
                </c:pt>
                <c:pt idx="45">
                  <c:v>-0.7</c:v>
                </c:pt>
                <c:pt idx="46">
                  <c:v>0.21631189606245621</c:v>
                </c:pt>
                <c:pt idx="47">
                  <c:v>0.56631189606246901</c:v>
                </c:pt>
                <c:pt idx="48">
                  <c:v>-0.56631189606245591</c:v>
                </c:pt>
                <c:pt idx="49">
                  <c:v>-0.21631189606248688</c:v>
                </c:pt>
                <c:pt idx="50">
                  <c:v>0.7</c:v>
                </c:pt>
                <c:pt idx="51">
                  <c:v>-0.21631189606243467</c:v>
                </c:pt>
                <c:pt idx="52">
                  <c:v>-0.56631189606248233</c:v>
                </c:pt>
                <c:pt idx="53">
                  <c:v>0.5663118960624367</c:v>
                </c:pt>
                <c:pt idx="54">
                  <c:v>0.21631189606250839</c:v>
                </c:pt>
                <c:pt idx="55">
                  <c:v>-0.7</c:v>
                </c:pt>
                <c:pt idx="56">
                  <c:v>0.21631189606241316</c:v>
                </c:pt>
                <c:pt idx="57">
                  <c:v>0.56631189606249555</c:v>
                </c:pt>
                <c:pt idx="58">
                  <c:v>-0.56631189606242338</c:v>
                </c:pt>
                <c:pt idx="59">
                  <c:v>-0.21631189606252993</c:v>
                </c:pt>
                <c:pt idx="60">
                  <c:v>0.7</c:v>
                </c:pt>
                <c:pt idx="61">
                  <c:v>-0.21631189606239162</c:v>
                </c:pt>
                <c:pt idx="62">
                  <c:v>-0.56631189606251475</c:v>
                </c:pt>
                <c:pt idx="63">
                  <c:v>0.56631189606241006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C7-E744-AAC7-71C292AC0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700624"/>
        <c:axId val="1148702336"/>
      </c:scatterChart>
      <c:valAx>
        <c:axId val="114870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02336"/>
        <c:crosses val="autoZero"/>
        <c:crossBetween val="midCat"/>
      </c:valAx>
      <c:valAx>
        <c:axId val="114870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700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b. Combined Signals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Sheet1!$A$2:$A$65</c:f>
              <c:numCache>
                <c:formatCode>General</c:formatCode>
                <c:ptCount val="6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</c:numCache>
            </c:numRef>
          </c:xVal>
          <c:yVal>
            <c:numRef>
              <c:f>Sheet1!$E$2:$E$65</c:f>
              <c:numCache>
                <c:formatCode>General</c:formatCode>
                <c:ptCount val="64"/>
                <c:pt idx="0">
                  <c:v>0</c:v>
                </c:pt>
                <c:pt idx="1">
                  <c:v>3.0450849718747373</c:v>
                </c:pt>
                <c:pt idx="2">
                  <c:v>4.0287400534704076</c:v>
                </c:pt>
                <c:pt idx="3">
                  <c:v>2.5450849718747364</c:v>
                </c:pt>
                <c:pt idx="4">
                  <c:v>0.13875727571288787</c:v>
                </c:pt>
                <c:pt idx="5">
                  <c:v>-1</c:v>
                </c:pt>
                <c:pt idx="6">
                  <c:v>0.13875727571288721</c:v>
                </c:pt>
                <c:pt idx="7">
                  <c:v>2.5450849718747364</c:v>
                </c:pt>
                <c:pt idx="8">
                  <c:v>4.0287400534704059</c:v>
                </c:pt>
                <c:pt idx="9">
                  <c:v>3.045084971874739</c:v>
                </c:pt>
                <c:pt idx="10">
                  <c:v>7.5643604169629648E-15</c:v>
                </c:pt>
                <c:pt idx="11">
                  <c:v>-3.0450849718747319</c:v>
                </c:pt>
                <c:pt idx="12">
                  <c:v>-4.0287400534704076</c:v>
                </c:pt>
                <c:pt idx="13">
                  <c:v>-2.5450849718747381</c:v>
                </c:pt>
                <c:pt idx="14">
                  <c:v>-0.13875727571288476</c:v>
                </c:pt>
                <c:pt idx="15">
                  <c:v>1</c:v>
                </c:pt>
                <c:pt idx="16">
                  <c:v>-0.13875727571289453</c:v>
                </c:pt>
                <c:pt idx="17">
                  <c:v>-2.5450849718747497</c:v>
                </c:pt>
                <c:pt idx="18">
                  <c:v>-4.0287400534704068</c:v>
                </c:pt>
                <c:pt idx="19">
                  <c:v>-3.0450849718747257</c:v>
                </c:pt>
                <c:pt idx="20">
                  <c:v>1.1516631757077827E-14</c:v>
                </c:pt>
                <c:pt idx="21">
                  <c:v>3.0450849718747479</c:v>
                </c:pt>
                <c:pt idx="22">
                  <c:v>4.0287400534704032</c:v>
                </c:pt>
                <c:pt idx="23">
                  <c:v>2.545084971874727</c:v>
                </c:pt>
                <c:pt idx="24">
                  <c:v>0.13875727571287433</c:v>
                </c:pt>
                <c:pt idx="25">
                  <c:v>-1</c:v>
                </c:pt>
                <c:pt idx="26">
                  <c:v>0.13875727571290941</c:v>
                </c:pt>
                <c:pt idx="27">
                  <c:v>2.5450849718747559</c:v>
                </c:pt>
                <c:pt idx="28">
                  <c:v>4.0287400534704112</c:v>
                </c:pt>
                <c:pt idx="29">
                  <c:v>3.0450849718747111</c:v>
                </c:pt>
                <c:pt idx="30">
                  <c:v>-4.5696657066020747E-14</c:v>
                </c:pt>
                <c:pt idx="31">
                  <c:v>-3.0450849718747666</c:v>
                </c:pt>
                <c:pt idx="32">
                  <c:v>-4.0287400534704023</c:v>
                </c:pt>
                <c:pt idx="33">
                  <c:v>-2.5450849718747008</c:v>
                </c:pt>
                <c:pt idx="34">
                  <c:v>-0.13875727571285079</c:v>
                </c:pt>
                <c:pt idx="35">
                  <c:v>1</c:v>
                </c:pt>
                <c:pt idx="36">
                  <c:v>-0.13875727571291607</c:v>
                </c:pt>
                <c:pt idx="37">
                  <c:v>-2.5450849718747834</c:v>
                </c:pt>
                <c:pt idx="38">
                  <c:v>-4.0287400534704112</c:v>
                </c:pt>
                <c:pt idx="39">
                  <c:v>-3.0450849718746866</c:v>
                </c:pt>
                <c:pt idx="40">
                  <c:v>4.7902259265759161E-14</c:v>
                </c:pt>
                <c:pt idx="41">
                  <c:v>3.0450849718747657</c:v>
                </c:pt>
                <c:pt idx="42">
                  <c:v>4.0287400534704032</c:v>
                </c:pt>
                <c:pt idx="43">
                  <c:v>2.5450849718747177</c:v>
                </c:pt>
                <c:pt idx="44">
                  <c:v>0.13875727571289254</c:v>
                </c:pt>
                <c:pt idx="45">
                  <c:v>-1</c:v>
                </c:pt>
                <c:pt idx="46">
                  <c:v>0.13875727571287655</c:v>
                </c:pt>
                <c:pt idx="47">
                  <c:v>2.5450849718747195</c:v>
                </c:pt>
                <c:pt idx="48">
                  <c:v>4.0287400534704059</c:v>
                </c:pt>
                <c:pt idx="49">
                  <c:v>3.0450849718747794</c:v>
                </c:pt>
                <c:pt idx="50">
                  <c:v>7.0684403613719462E-14</c:v>
                </c:pt>
                <c:pt idx="51">
                  <c:v>-3.0450849718746875</c:v>
                </c:pt>
                <c:pt idx="52">
                  <c:v>-4.0287400534704165</c:v>
                </c:pt>
                <c:pt idx="53">
                  <c:v>-2.5450849718748176</c:v>
                </c:pt>
                <c:pt idx="54">
                  <c:v>-0.13875727571296315</c:v>
                </c:pt>
                <c:pt idx="55">
                  <c:v>1</c:v>
                </c:pt>
                <c:pt idx="56">
                  <c:v>-0.1387572757128035</c:v>
                </c:pt>
                <c:pt idx="57">
                  <c:v>-2.5450849718746404</c:v>
                </c:pt>
                <c:pt idx="58">
                  <c:v>-4.0287400534703863</c:v>
                </c:pt>
                <c:pt idx="59">
                  <c:v>-3.0450849718748572</c:v>
                </c:pt>
                <c:pt idx="60">
                  <c:v>-1.9282378017199857E-13</c:v>
                </c:pt>
                <c:pt idx="61">
                  <c:v>3.0450849718746036</c:v>
                </c:pt>
                <c:pt idx="62">
                  <c:v>4.0287400534704352</c:v>
                </c:pt>
                <c:pt idx="63">
                  <c:v>2.5450849718748971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F-0140-BDF4-49B15163DE65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g_total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Sheet1!$A$2:$A$65</c:f>
              <c:numCache>
                <c:formatCode>General</c:formatCode>
                <c:ptCount val="6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</c:numCache>
            </c:numRef>
          </c:xVal>
          <c:yVal>
            <c:numRef>
              <c:f>Sheet1!$F$2:$F$65</c:f>
              <c:numCache>
                <c:formatCode>General</c:formatCode>
                <c:ptCount val="64"/>
                <c:pt idx="0">
                  <c:v>0.7</c:v>
                </c:pt>
                <c:pt idx="1">
                  <c:v>2.8287730758122742</c:v>
                </c:pt>
                <c:pt idx="2">
                  <c:v>3.4624281574079445</c:v>
                </c:pt>
                <c:pt idx="3">
                  <c:v>3.1113968679371999</c:v>
                </c:pt>
                <c:pt idx="4">
                  <c:v>0.35506917177535124</c:v>
                </c:pt>
                <c:pt idx="5">
                  <c:v>-1.7</c:v>
                </c:pt>
                <c:pt idx="6">
                  <c:v>0.35506917177535013</c:v>
                </c:pt>
                <c:pt idx="7">
                  <c:v>3.1113968679371995</c:v>
                </c:pt>
                <c:pt idx="8">
                  <c:v>3.4624281574079436</c:v>
                </c:pt>
                <c:pt idx="9">
                  <c:v>2.8287730758122756</c:v>
                </c:pt>
                <c:pt idx="10">
                  <c:v>0.70000000000000751</c:v>
                </c:pt>
                <c:pt idx="11">
                  <c:v>-3.2613968679371923</c:v>
                </c:pt>
                <c:pt idx="12">
                  <c:v>-4.5950519495328708</c:v>
                </c:pt>
                <c:pt idx="13">
                  <c:v>-1.9787730758122755</c:v>
                </c:pt>
                <c:pt idx="14">
                  <c:v>7.7554620349576719E-2</c:v>
                </c:pt>
                <c:pt idx="15">
                  <c:v>0.30000000000000004</c:v>
                </c:pt>
                <c:pt idx="16">
                  <c:v>7.7554620349572584E-2</c:v>
                </c:pt>
                <c:pt idx="17">
                  <c:v>-1.9787730758122906</c:v>
                </c:pt>
                <c:pt idx="18">
                  <c:v>-4.5950519495328725</c:v>
                </c:pt>
                <c:pt idx="19">
                  <c:v>-3.2613968679371825</c:v>
                </c:pt>
                <c:pt idx="20">
                  <c:v>0.7000000000000115</c:v>
                </c:pt>
                <c:pt idx="21">
                  <c:v>2.8287730758122787</c:v>
                </c:pt>
                <c:pt idx="22">
                  <c:v>3.4624281574079454</c:v>
                </c:pt>
                <c:pt idx="23">
                  <c:v>3.1113968679371937</c:v>
                </c:pt>
                <c:pt idx="24">
                  <c:v>0.35506917177532921</c:v>
                </c:pt>
                <c:pt idx="25">
                  <c:v>-1.7</c:v>
                </c:pt>
                <c:pt idx="26">
                  <c:v>0.35506917177538555</c:v>
                </c:pt>
                <c:pt idx="27">
                  <c:v>3.1113968679372128</c:v>
                </c:pt>
                <c:pt idx="28">
                  <c:v>3.4624281574079401</c:v>
                </c:pt>
                <c:pt idx="29">
                  <c:v>2.8287730758122631</c:v>
                </c:pt>
                <c:pt idx="30">
                  <c:v>0.69999999999995421</c:v>
                </c:pt>
                <c:pt idx="31">
                  <c:v>-3.2613968679372447</c:v>
                </c:pt>
                <c:pt idx="32">
                  <c:v>-4.5950519495328548</c:v>
                </c:pt>
                <c:pt idx="33">
                  <c:v>-1.9787730758122255</c:v>
                </c:pt>
                <c:pt idx="34">
                  <c:v>7.7554620349590431E-2</c:v>
                </c:pt>
                <c:pt idx="35">
                  <c:v>0.30000000000000004</c:v>
                </c:pt>
                <c:pt idx="36">
                  <c:v>7.7554620349564257E-2</c:v>
                </c:pt>
                <c:pt idx="37">
                  <c:v>-1.9787730758123354</c:v>
                </c:pt>
                <c:pt idx="38">
                  <c:v>-4.5950519495328876</c:v>
                </c:pt>
                <c:pt idx="39">
                  <c:v>-3.2613968679371208</c:v>
                </c:pt>
                <c:pt idx="40">
                  <c:v>0.70000000000004781</c:v>
                </c:pt>
                <c:pt idx="41">
                  <c:v>2.828773075812288</c:v>
                </c:pt>
                <c:pt idx="42">
                  <c:v>3.4624281574079476</c:v>
                </c:pt>
                <c:pt idx="43">
                  <c:v>3.1113968679371871</c:v>
                </c:pt>
                <c:pt idx="44">
                  <c:v>0.35506917177535791</c:v>
                </c:pt>
                <c:pt idx="45">
                  <c:v>-1.7</c:v>
                </c:pt>
                <c:pt idx="46">
                  <c:v>0.35506917177533276</c:v>
                </c:pt>
                <c:pt idx="47">
                  <c:v>3.1113968679371884</c:v>
                </c:pt>
                <c:pt idx="48">
                  <c:v>3.4624281574079498</c:v>
                </c:pt>
                <c:pt idx="49">
                  <c:v>2.8287730758122924</c:v>
                </c:pt>
                <c:pt idx="50">
                  <c:v>0.70000000000007068</c:v>
                </c:pt>
                <c:pt idx="51">
                  <c:v>-3.2613968679371221</c:v>
                </c:pt>
                <c:pt idx="52">
                  <c:v>-4.5950519495328992</c:v>
                </c:pt>
                <c:pt idx="53">
                  <c:v>-1.9787730758123809</c:v>
                </c:pt>
                <c:pt idx="54">
                  <c:v>7.7554620349545245E-2</c:v>
                </c:pt>
                <c:pt idx="55">
                  <c:v>0.30000000000000004</c:v>
                </c:pt>
                <c:pt idx="56">
                  <c:v>7.7554620349609665E-2</c:v>
                </c:pt>
                <c:pt idx="57">
                  <c:v>-1.9787730758121449</c:v>
                </c:pt>
                <c:pt idx="58">
                  <c:v>-4.5950519495328095</c:v>
                </c:pt>
                <c:pt idx="59">
                  <c:v>-3.2613968679373873</c:v>
                </c:pt>
                <c:pt idx="60">
                  <c:v>0.69999999999980711</c:v>
                </c:pt>
                <c:pt idx="61">
                  <c:v>2.828773075812212</c:v>
                </c:pt>
                <c:pt idx="62">
                  <c:v>3.4624281574079205</c:v>
                </c:pt>
                <c:pt idx="63">
                  <c:v>3.111396867937307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F-0140-BDF4-49B15163D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168368"/>
        <c:axId val="879085920"/>
      </c:scatterChart>
      <c:valAx>
        <c:axId val="87916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85920"/>
        <c:crosses val="autoZero"/>
        <c:crossBetween val="midCat"/>
      </c:valAx>
      <c:valAx>
        <c:axId val="8790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68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c. FFT Magnitude of g4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Amplitude g4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Sheet1!$G$2:$G$65</c:f>
              <c:numCache>
                <c:formatCode>General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xVal>
          <c:yVal>
            <c:numRef>
              <c:f>Sheet1!$I$2:$I$65</c:f>
              <c:numCache>
                <c:formatCode>General</c:formatCode>
                <c:ptCount val="64"/>
                <c:pt idx="0">
                  <c:v>9.6189099999999996</c:v>
                </c:pt>
                <c:pt idx="1">
                  <c:v>10.334145081006943</c:v>
                </c:pt>
                <c:pt idx="2">
                  <c:v>13.962316219983848</c:v>
                </c:pt>
                <c:pt idx="3">
                  <c:v>62.57118266958426</c:v>
                </c:pt>
                <c:pt idx="4">
                  <c:v>14.463254255147143</c:v>
                </c:pt>
                <c:pt idx="5">
                  <c:v>8.9951731675756523</c:v>
                </c:pt>
                <c:pt idx="6">
                  <c:v>9.6178320378632112</c:v>
                </c:pt>
                <c:pt idx="7">
                  <c:v>12.372354747051993</c:v>
                </c:pt>
                <c:pt idx="8">
                  <c:v>19.191869244106943</c:v>
                </c:pt>
                <c:pt idx="9">
                  <c:v>49.357131853920329</c:v>
                </c:pt>
                <c:pt idx="10">
                  <c:v>71.819010348142811</c:v>
                </c:pt>
                <c:pt idx="11">
                  <c:v>19.994147306910815</c:v>
                </c:pt>
                <c:pt idx="12">
                  <c:v>11.409282267253493</c:v>
                </c:pt>
                <c:pt idx="13">
                  <c:v>7.9073352670669035</c:v>
                </c:pt>
                <c:pt idx="14">
                  <c:v>6.020502517579243</c:v>
                </c:pt>
                <c:pt idx="15">
                  <c:v>4.8501782738536532</c:v>
                </c:pt>
                <c:pt idx="16">
                  <c:v>4.0596485054250691</c:v>
                </c:pt>
                <c:pt idx="17">
                  <c:v>3.4943873789797548</c:v>
                </c:pt>
                <c:pt idx="18">
                  <c:v>3.0735912575438524</c:v>
                </c:pt>
                <c:pt idx="19">
                  <c:v>2.7509605148929341</c:v>
                </c:pt>
                <c:pt idx="20">
                  <c:v>2.4980986006082708</c:v>
                </c:pt>
                <c:pt idx="21">
                  <c:v>2.2966632701049146</c:v>
                </c:pt>
                <c:pt idx="22">
                  <c:v>2.1343144185693448</c:v>
                </c:pt>
                <c:pt idx="23">
                  <c:v>2.0024709540145644</c:v>
                </c:pt>
                <c:pt idx="24">
                  <c:v>1.8950163190497862</c:v>
                </c:pt>
                <c:pt idx="25">
                  <c:v>1.8074992514999835</c:v>
                </c:pt>
                <c:pt idx="26">
                  <c:v>1.7366393380045839</c:v>
                </c:pt>
                <c:pt idx="27">
                  <c:v>1.6799954231872181</c:v>
                </c:pt>
                <c:pt idx="28">
                  <c:v>1.6357535976576667</c:v>
                </c:pt>
                <c:pt idx="29">
                  <c:v>1.6025774657407359</c:v>
                </c:pt>
                <c:pt idx="30">
                  <c:v>1.5795136713624862</c:v>
                </c:pt>
                <c:pt idx="31">
                  <c:v>1.565920316380115</c:v>
                </c:pt>
                <c:pt idx="32">
                  <c:v>1.5614300000000001</c:v>
                </c:pt>
                <c:pt idx="33">
                  <c:v>1.565920316380115</c:v>
                </c:pt>
                <c:pt idx="34">
                  <c:v>1.5795136713624862</c:v>
                </c:pt>
                <c:pt idx="35">
                  <c:v>1.6025774657407359</c:v>
                </c:pt>
                <c:pt idx="36">
                  <c:v>1.6357535976576667</c:v>
                </c:pt>
                <c:pt idx="37">
                  <c:v>1.6799954231872181</c:v>
                </c:pt>
                <c:pt idx="38">
                  <c:v>1.7366393380045839</c:v>
                </c:pt>
                <c:pt idx="39">
                  <c:v>1.8074992514999835</c:v>
                </c:pt>
                <c:pt idx="40">
                  <c:v>1.8950163190497862</c:v>
                </c:pt>
                <c:pt idx="41">
                  <c:v>2.0024709540145644</c:v>
                </c:pt>
                <c:pt idx="42">
                  <c:v>2.1343144185693448</c:v>
                </c:pt>
                <c:pt idx="43">
                  <c:v>2.2966632701049146</c:v>
                </c:pt>
                <c:pt idx="44">
                  <c:v>2.4980986006082708</c:v>
                </c:pt>
                <c:pt idx="45">
                  <c:v>2.7509605148929341</c:v>
                </c:pt>
                <c:pt idx="46">
                  <c:v>3.0735912575438524</c:v>
                </c:pt>
                <c:pt idx="47">
                  <c:v>3.4943873789797548</c:v>
                </c:pt>
                <c:pt idx="48">
                  <c:v>4.0596485054250691</c:v>
                </c:pt>
                <c:pt idx="49">
                  <c:v>4.8501782738536532</c:v>
                </c:pt>
                <c:pt idx="50">
                  <c:v>6.020502517579243</c:v>
                </c:pt>
                <c:pt idx="51">
                  <c:v>7.9073352670669035</c:v>
                </c:pt>
                <c:pt idx="52">
                  <c:v>11.409282267253493</c:v>
                </c:pt>
                <c:pt idx="53">
                  <c:v>19.994147306910815</c:v>
                </c:pt>
                <c:pt idx="54">
                  <c:v>71.819010348142811</c:v>
                </c:pt>
                <c:pt idx="55">
                  <c:v>49.357131853920329</c:v>
                </c:pt>
                <c:pt idx="56">
                  <c:v>19.191869244106943</c:v>
                </c:pt>
                <c:pt idx="57">
                  <c:v>12.372354747051993</c:v>
                </c:pt>
                <c:pt idx="58">
                  <c:v>9.6178320378632112</c:v>
                </c:pt>
                <c:pt idx="59">
                  <c:v>8.9951731675756523</c:v>
                </c:pt>
                <c:pt idx="60">
                  <c:v>14.463254255147143</c:v>
                </c:pt>
                <c:pt idx="61">
                  <c:v>62.57118266958426</c:v>
                </c:pt>
                <c:pt idx="62">
                  <c:v>13.962316219983848</c:v>
                </c:pt>
                <c:pt idx="63">
                  <c:v>10.334145081006943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D-C04A-A3A1-B9125A6FE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42000"/>
        <c:axId val="1159243712"/>
      </c:scatterChart>
      <c:valAx>
        <c:axId val="115924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index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43712"/>
        <c:crosses val="autoZero"/>
        <c:crossBetween val="midCat"/>
      </c:valAx>
      <c:valAx>
        <c:axId val="11592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 |G4(k)|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4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d. Magnitude of g_total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Amplitude g_total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Sheet1!$G$2:$G$65</c:f>
              <c:numCache>
                <c:formatCode>General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xVal>
          <c:yVal>
            <c:numRef>
              <c:f>Sheet1!$K$2:$K$65</c:f>
              <c:numCache>
                <c:formatCode>General</c:formatCode>
                <c:ptCount val="64"/>
                <c:pt idx="0">
                  <c:v>10.102598</c:v>
                </c:pt>
                <c:pt idx="1">
                  <c:v>10.807649609621604</c:v>
                </c:pt>
                <c:pt idx="2">
                  <c:v>14.392246094542887</c:v>
                </c:pt>
                <c:pt idx="3">
                  <c:v>62.862998327422197</c:v>
                </c:pt>
                <c:pt idx="4">
                  <c:v>14.498642851636701</c:v>
                </c:pt>
                <c:pt idx="5">
                  <c:v>9.3307932950040744</c:v>
                </c:pt>
                <c:pt idx="6">
                  <c:v>10.086269894089341</c:v>
                </c:pt>
                <c:pt idx="7">
                  <c:v>12.903881604023843</c:v>
                </c:pt>
                <c:pt idx="8">
                  <c:v>19.765281164059214</c:v>
                </c:pt>
                <c:pt idx="9">
                  <c:v>49.967482172723699</c:v>
                </c:pt>
                <c:pt idx="10">
                  <c:v>71.169748414888531</c:v>
                </c:pt>
                <c:pt idx="11">
                  <c:v>19.299526598447432</c:v>
                </c:pt>
                <c:pt idx="12">
                  <c:v>10.658381950603289</c:v>
                </c:pt>
                <c:pt idx="13">
                  <c:v>7.0832082462461878</c:v>
                </c:pt>
                <c:pt idx="14">
                  <c:v>5.0966584892056481</c:v>
                </c:pt>
                <c:pt idx="15">
                  <c:v>3.7834671033168772</c:v>
                </c:pt>
                <c:pt idx="16">
                  <c:v>2.7768479937799979</c:v>
                </c:pt>
                <c:pt idx="17">
                  <c:v>1.8925658834249339</c:v>
                </c:pt>
                <c:pt idx="18">
                  <c:v>1.7917214304263374</c:v>
                </c:pt>
                <c:pt idx="19">
                  <c:v>18.826407903710816</c:v>
                </c:pt>
                <c:pt idx="20">
                  <c:v>7.2933400109015896</c:v>
                </c:pt>
                <c:pt idx="21">
                  <c:v>4.2573216770030431</c:v>
                </c:pt>
                <c:pt idx="22">
                  <c:v>3.3073172533910316</c:v>
                </c:pt>
                <c:pt idx="23">
                  <c:v>2.8119997224745594</c:v>
                </c:pt>
                <c:pt idx="24">
                  <c:v>2.4985572129250908</c:v>
                </c:pt>
                <c:pt idx="25">
                  <c:v>2.2808061491965947</c:v>
                </c:pt>
                <c:pt idx="26">
                  <c:v>2.1222184317143231</c:v>
                </c:pt>
                <c:pt idx="27">
                  <c:v>2.0043863070807983</c:v>
                </c:pt>
                <c:pt idx="28">
                  <c:v>1.9169594740017331</c:v>
                </c:pt>
                <c:pt idx="29">
                  <c:v>1.8537178838658268</c:v>
                </c:pt>
                <c:pt idx="30">
                  <c:v>1.8108143381321564</c:v>
                </c:pt>
                <c:pt idx="31">
                  <c:v>1.7859102870539156</c:v>
                </c:pt>
                <c:pt idx="32">
                  <c:v>1.7777419999999999</c:v>
                </c:pt>
                <c:pt idx="33">
                  <c:v>1.7859102870539156</c:v>
                </c:pt>
                <c:pt idx="34">
                  <c:v>1.8108143381321564</c:v>
                </c:pt>
                <c:pt idx="35">
                  <c:v>1.8537178838658268</c:v>
                </c:pt>
                <c:pt idx="36">
                  <c:v>1.9169594740017331</c:v>
                </c:pt>
                <c:pt idx="37">
                  <c:v>2.0043863070807983</c:v>
                </c:pt>
                <c:pt idx="38">
                  <c:v>2.1222184317143231</c:v>
                </c:pt>
                <c:pt idx="39">
                  <c:v>2.2808061491965947</c:v>
                </c:pt>
                <c:pt idx="40">
                  <c:v>2.4985572129250908</c:v>
                </c:pt>
                <c:pt idx="41">
                  <c:v>2.8119997224745594</c:v>
                </c:pt>
                <c:pt idx="42">
                  <c:v>3.3073172533910316</c:v>
                </c:pt>
                <c:pt idx="43">
                  <c:v>4.2573216770030431</c:v>
                </c:pt>
                <c:pt idx="44">
                  <c:v>7.2933400109015896</c:v>
                </c:pt>
                <c:pt idx="45">
                  <c:v>18.826407903710816</c:v>
                </c:pt>
                <c:pt idx="46">
                  <c:v>1.7917214304263374</c:v>
                </c:pt>
                <c:pt idx="47">
                  <c:v>1.8925658834249339</c:v>
                </c:pt>
                <c:pt idx="48">
                  <c:v>2.7768479937799979</c:v>
                </c:pt>
                <c:pt idx="49">
                  <c:v>3.7834671033168772</c:v>
                </c:pt>
                <c:pt idx="50">
                  <c:v>5.0966584892056481</c:v>
                </c:pt>
                <c:pt idx="51">
                  <c:v>7.0832082462461878</c:v>
                </c:pt>
                <c:pt idx="52">
                  <c:v>10.658381950603289</c:v>
                </c:pt>
                <c:pt idx="53">
                  <c:v>19.299526598447432</c:v>
                </c:pt>
                <c:pt idx="54">
                  <c:v>71.169748414888531</c:v>
                </c:pt>
                <c:pt idx="55">
                  <c:v>49.967482172723699</c:v>
                </c:pt>
                <c:pt idx="56">
                  <c:v>19.765281164059214</c:v>
                </c:pt>
                <c:pt idx="57">
                  <c:v>12.903881604023843</c:v>
                </c:pt>
                <c:pt idx="58">
                  <c:v>10.086269894089341</c:v>
                </c:pt>
                <c:pt idx="59">
                  <c:v>9.3307932950040744</c:v>
                </c:pt>
                <c:pt idx="60">
                  <c:v>14.498642851636701</c:v>
                </c:pt>
                <c:pt idx="61">
                  <c:v>62.862998327422197</c:v>
                </c:pt>
                <c:pt idx="62">
                  <c:v>14.392246094542887</c:v>
                </c:pt>
                <c:pt idx="63">
                  <c:v>10.807649609621604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D-2848-9B44-D0249C7D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254944"/>
        <c:axId val="2025980320"/>
      </c:scatterChart>
      <c:valAx>
        <c:axId val="11582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index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80320"/>
        <c:crosses val="autoZero"/>
        <c:crossBetween val="midCat"/>
      </c:valAx>
      <c:valAx>
        <c:axId val="20259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 |G_total(k)|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25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6156</xdr:colOff>
      <xdr:row>0</xdr:row>
      <xdr:rowOff>140248</xdr:rowOff>
    </xdr:from>
    <xdr:to>
      <xdr:col>20</xdr:col>
      <xdr:colOff>313377</xdr:colOff>
      <xdr:row>17</xdr:row>
      <xdr:rowOff>112264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1D29C-DE35-3102-7CB9-9361CF086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18139</xdr:colOff>
      <xdr:row>17</xdr:row>
      <xdr:rowOff>127245</xdr:rowOff>
    </xdr:from>
    <xdr:to>
      <xdr:col>20</xdr:col>
      <xdr:colOff>329870</xdr:colOff>
      <xdr:row>34</xdr:row>
      <xdr:rowOff>117100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BFD9B8-B2D6-9ECF-B4F9-DB5D32F01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10720</xdr:colOff>
      <xdr:row>34</xdr:row>
      <xdr:rowOff>138792</xdr:rowOff>
    </xdr:from>
    <xdr:to>
      <xdr:col>20</xdr:col>
      <xdr:colOff>296882</xdr:colOff>
      <xdr:row>52</xdr:row>
      <xdr:rowOff>16494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F340B3-13FF-CF5C-0EAC-01A7A4101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6598</xdr:colOff>
      <xdr:row>52</xdr:row>
      <xdr:rowOff>22101</xdr:rowOff>
    </xdr:from>
    <xdr:to>
      <xdr:col>20</xdr:col>
      <xdr:colOff>280391</xdr:colOff>
      <xdr:row>69</xdr:row>
      <xdr:rowOff>82468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833C71-11F0-1F1A-283C-074C64A7B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B602-1625-784B-8A0A-717D7F918942}">
  <dimension ref="A1:K65"/>
  <sheetViews>
    <sheetView tabSelected="1" topLeftCell="A2" zoomScale="77" zoomScaleNormal="77" workbookViewId="0">
      <selection activeCell="W16" sqref="W16"/>
    </sheetView>
  </sheetViews>
  <sheetFormatPr baseColWidth="10" defaultRowHeight="16" x14ac:dyDescent="0.2"/>
  <cols>
    <col min="7" max="7" width="21.5" customWidth="1"/>
    <col min="8" max="8" width="26.1640625" customWidth="1"/>
    <col min="9" max="9" width="28.5" customWidth="1"/>
    <col min="10" max="10" width="35.5" customWidth="1"/>
    <col min="11" max="11" width="28.6640625" customWidth="1"/>
  </cols>
  <sheetData>
    <row r="1" spans="1:11" x14ac:dyDescent="0.2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5</v>
      </c>
      <c r="G1" t="s">
        <v>72</v>
      </c>
      <c r="H1" t="s">
        <v>70</v>
      </c>
      <c r="I1" t="s">
        <v>71</v>
      </c>
      <c r="J1" t="s">
        <v>137</v>
      </c>
      <c r="K1" t="s">
        <v>138</v>
      </c>
    </row>
    <row r="2" spans="1:11" x14ac:dyDescent="0.2">
      <c r="A2">
        <v>0</v>
      </c>
      <c r="B2">
        <f>2*SIN(2*PI()*A2)</f>
        <v>0</v>
      </c>
      <c r="C2">
        <f>3*SIN(2*PI()*3*A2)</f>
        <v>0</v>
      </c>
      <c r="D2">
        <f>0.7*COS(2*PI()*6*A2)</f>
        <v>0.7</v>
      </c>
      <c r="E2">
        <f>B2+C2</f>
        <v>0</v>
      </c>
      <c r="F2">
        <f>B2+C2+D2</f>
        <v>0.7</v>
      </c>
      <c r="G2">
        <v>0</v>
      </c>
      <c r="H2" t="s">
        <v>6</v>
      </c>
      <c r="I2">
        <f>IMABS(H2)</f>
        <v>9.6189099999999996</v>
      </c>
      <c r="J2" t="s">
        <v>73</v>
      </c>
      <c r="K2">
        <f>IMABS(J2)</f>
        <v>10.102598</v>
      </c>
    </row>
    <row r="3" spans="1:11" x14ac:dyDescent="0.2">
      <c r="A3">
        <f>A2+0.05</f>
        <v>0.05</v>
      </c>
      <c r="B3">
        <f t="shared" ref="B3:B65" si="0">2*SIN(2*PI()*A3)</f>
        <v>0.61803398874989479</v>
      </c>
      <c r="C3">
        <f t="shared" ref="C3:C65" si="1">3*SIN(2*PI()*3*A3)</f>
        <v>2.4270509831248424</v>
      </c>
      <c r="D3">
        <f t="shared" ref="D3:D65" si="2">0.7*COS(2*PI()*6*A3)</f>
        <v>-0.21631189606246312</v>
      </c>
      <c r="E3">
        <f t="shared" ref="E3:E65" si="3">B3+C3</f>
        <v>3.0450849718747373</v>
      </c>
      <c r="F3">
        <f t="shared" ref="F3:F65" si="4">B3+C3+D3</f>
        <v>2.8287730758122742</v>
      </c>
      <c r="G3">
        <f>G2+1</f>
        <v>1</v>
      </c>
      <c r="H3" t="s">
        <v>7</v>
      </c>
      <c r="I3">
        <f t="shared" ref="I3:I65" si="5">IMABS(H3)</f>
        <v>10.334145081006943</v>
      </c>
      <c r="J3" t="s">
        <v>74</v>
      </c>
      <c r="K3">
        <f t="shared" ref="K3:K65" si="6">IMABS(J3)</f>
        <v>10.807649609621604</v>
      </c>
    </row>
    <row r="4" spans="1:11" x14ac:dyDescent="0.2">
      <c r="A4">
        <f t="shared" ref="A4:A65" si="7">A3+0.05</f>
        <v>0.1</v>
      </c>
      <c r="B4">
        <f t="shared" si="0"/>
        <v>1.1755705045849463</v>
      </c>
      <c r="C4">
        <f t="shared" si="1"/>
        <v>2.8531695488854609</v>
      </c>
      <c r="D4">
        <f t="shared" si="2"/>
        <v>-0.56631189606246313</v>
      </c>
      <c r="E4">
        <f t="shared" si="3"/>
        <v>4.0287400534704076</v>
      </c>
      <c r="F4">
        <f t="shared" si="4"/>
        <v>3.4624281574079445</v>
      </c>
      <c r="G4">
        <f t="shared" ref="G4:G65" si="8">G3+1</f>
        <v>2</v>
      </c>
      <c r="H4" t="s">
        <v>8</v>
      </c>
      <c r="I4">
        <f t="shared" si="5"/>
        <v>13.962316219983848</v>
      </c>
      <c r="J4" t="s">
        <v>75</v>
      </c>
      <c r="K4">
        <f t="shared" si="6"/>
        <v>14.392246094542887</v>
      </c>
    </row>
    <row r="5" spans="1:11" x14ac:dyDescent="0.2">
      <c r="A5">
        <f t="shared" si="7"/>
        <v>0.15000000000000002</v>
      </c>
      <c r="B5">
        <f t="shared" si="0"/>
        <v>1.6180339887498949</v>
      </c>
      <c r="C5">
        <f t="shared" si="1"/>
        <v>0.92705098312484135</v>
      </c>
      <c r="D5">
        <f t="shared" si="2"/>
        <v>0.56631189606246346</v>
      </c>
      <c r="E5">
        <f t="shared" si="3"/>
        <v>2.5450849718747364</v>
      </c>
      <c r="F5">
        <f t="shared" si="4"/>
        <v>3.1113968679371999</v>
      </c>
      <c r="G5">
        <f t="shared" si="8"/>
        <v>3</v>
      </c>
      <c r="H5" t="s">
        <v>9</v>
      </c>
      <c r="I5">
        <f t="shared" si="5"/>
        <v>62.57118266958426</v>
      </c>
      <c r="J5" t="s">
        <v>76</v>
      </c>
      <c r="K5">
        <f t="shared" si="6"/>
        <v>62.862998327422197</v>
      </c>
    </row>
    <row r="6" spans="1:11" x14ac:dyDescent="0.2">
      <c r="A6">
        <f t="shared" si="7"/>
        <v>0.2</v>
      </c>
      <c r="B6">
        <f t="shared" si="0"/>
        <v>1.9021130325903071</v>
      </c>
      <c r="C6">
        <f t="shared" si="1"/>
        <v>-1.7633557568774192</v>
      </c>
      <c r="D6">
        <f t="shared" si="2"/>
        <v>0.2163118960624634</v>
      </c>
      <c r="E6">
        <f t="shared" si="3"/>
        <v>0.13875727571288787</v>
      </c>
      <c r="F6">
        <f t="shared" si="4"/>
        <v>0.35506917177535124</v>
      </c>
      <c r="G6">
        <f t="shared" si="8"/>
        <v>4</v>
      </c>
      <c r="H6" t="s">
        <v>10</v>
      </c>
      <c r="I6">
        <f t="shared" si="5"/>
        <v>14.463254255147143</v>
      </c>
      <c r="J6" t="s">
        <v>77</v>
      </c>
      <c r="K6">
        <f t="shared" si="6"/>
        <v>14.498642851636701</v>
      </c>
    </row>
    <row r="7" spans="1:11" x14ac:dyDescent="0.2">
      <c r="A7">
        <f t="shared" si="7"/>
        <v>0.25</v>
      </c>
      <c r="B7">
        <f t="shared" si="0"/>
        <v>2</v>
      </c>
      <c r="C7">
        <f t="shared" si="1"/>
        <v>-3</v>
      </c>
      <c r="D7">
        <f t="shared" si="2"/>
        <v>-0.7</v>
      </c>
      <c r="E7">
        <f t="shared" si="3"/>
        <v>-1</v>
      </c>
      <c r="F7">
        <f t="shared" si="4"/>
        <v>-1.7</v>
      </c>
      <c r="G7">
        <f t="shared" si="8"/>
        <v>5</v>
      </c>
      <c r="H7" t="s">
        <v>11</v>
      </c>
      <c r="I7">
        <f t="shared" si="5"/>
        <v>8.9951731675756523</v>
      </c>
      <c r="J7" t="s">
        <v>78</v>
      </c>
      <c r="K7">
        <f t="shared" si="6"/>
        <v>9.3307932950040744</v>
      </c>
    </row>
    <row r="8" spans="1:11" x14ac:dyDescent="0.2">
      <c r="A8">
        <f t="shared" si="7"/>
        <v>0.3</v>
      </c>
      <c r="B8">
        <f t="shared" si="0"/>
        <v>1.9021130325903073</v>
      </c>
      <c r="C8">
        <f t="shared" si="1"/>
        <v>-1.7633557568774201</v>
      </c>
      <c r="D8">
        <f t="shared" si="2"/>
        <v>0.2163118960624629</v>
      </c>
      <c r="E8">
        <f t="shared" si="3"/>
        <v>0.13875727571288721</v>
      </c>
      <c r="F8">
        <f t="shared" si="4"/>
        <v>0.35506917177535013</v>
      </c>
      <c r="G8">
        <f t="shared" si="8"/>
        <v>6</v>
      </c>
      <c r="H8" t="s">
        <v>12</v>
      </c>
      <c r="I8">
        <f t="shared" si="5"/>
        <v>9.6178320378632112</v>
      </c>
      <c r="J8" t="s">
        <v>79</v>
      </c>
      <c r="K8">
        <f t="shared" si="6"/>
        <v>10.086269894089341</v>
      </c>
    </row>
    <row r="9" spans="1:11" x14ac:dyDescent="0.2">
      <c r="A9">
        <f t="shared" si="7"/>
        <v>0.35</v>
      </c>
      <c r="B9">
        <f t="shared" si="0"/>
        <v>1.6180339887498949</v>
      </c>
      <c r="C9">
        <f t="shared" si="1"/>
        <v>0.92705098312484147</v>
      </c>
      <c r="D9">
        <f t="shared" si="2"/>
        <v>0.56631189606246335</v>
      </c>
      <c r="E9">
        <f t="shared" si="3"/>
        <v>2.5450849718747364</v>
      </c>
      <c r="F9">
        <f t="shared" si="4"/>
        <v>3.1113968679371995</v>
      </c>
      <c r="G9">
        <f t="shared" si="8"/>
        <v>7</v>
      </c>
      <c r="H9" t="s">
        <v>13</v>
      </c>
      <c r="I9">
        <f t="shared" si="5"/>
        <v>12.372354747051993</v>
      </c>
      <c r="J9" t="s">
        <v>80</v>
      </c>
      <c r="K9">
        <f t="shared" si="6"/>
        <v>12.903881604023843</v>
      </c>
    </row>
    <row r="10" spans="1:11" x14ac:dyDescent="0.2">
      <c r="A10">
        <f t="shared" si="7"/>
        <v>0.39999999999999997</v>
      </c>
      <c r="B10">
        <f t="shared" si="0"/>
        <v>1.1755705045849465</v>
      </c>
      <c r="C10">
        <f t="shared" si="1"/>
        <v>2.8531695488854596</v>
      </c>
      <c r="D10">
        <f t="shared" si="2"/>
        <v>-0.56631189606246213</v>
      </c>
      <c r="E10">
        <f t="shared" si="3"/>
        <v>4.0287400534704059</v>
      </c>
      <c r="F10">
        <f t="shared" si="4"/>
        <v>3.4624281574079436</v>
      </c>
      <c r="G10">
        <f t="shared" si="8"/>
        <v>8</v>
      </c>
      <c r="H10" t="s">
        <v>14</v>
      </c>
      <c r="I10">
        <f t="shared" si="5"/>
        <v>19.191869244106943</v>
      </c>
      <c r="J10" t="s">
        <v>81</v>
      </c>
      <c r="K10">
        <f t="shared" si="6"/>
        <v>19.765281164059214</v>
      </c>
    </row>
    <row r="11" spans="1:11" x14ac:dyDescent="0.2">
      <c r="A11">
        <f t="shared" si="7"/>
        <v>0.44999999999999996</v>
      </c>
      <c r="B11">
        <f t="shared" si="0"/>
        <v>0.6180339887498959</v>
      </c>
      <c r="C11">
        <f t="shared" si="1"/>
        <v>2.4270509831248432</v>
      </c>
      <c r="D11">
        <f t="shared" si="2"/>
        <v>-0.21631189606246362</v>
      </c>
      <c r="E11">
        <f t="shared" si="3"/>
        <v>3.045084971874739</v>
      </c>
      <c r="F11">
        <f t="shared" si="4"/>
        <v>2.8287730758122756</v>
      </c>
      <c r="G11">
        <f t="shared" si="8"/>
        <v>9</v>
      </c>
      <c r="H11" t="s">
        <v>15</v>
      </c>
      <c r="I11">
        <f t="shared" si="5"/>
        <v>49.357131853920329</v>
      </c>
      <c r="J11" t="s">
        <v>82</v>
      </c>
      <c r="K11">
        <f t="shared" si="6"/>
        <v>49.967482172723699</v>
      </c>
    </row>
    <row r="12" spans="1:11" x14ac:dyDescent="0.2">
      <c r="A12">
        <f t="shared" si="7"/>
        <v>0.49999999999999994</v>
      </c>
      <c r="B12">
        <f t="shared" si="0"/>
        <v>1.1331077795295959E-15</v>
      </c>
      <c r="C12">
        <f t="shared" si="1"/>
        <v>6.4312526374333693E-15</v>
      </c>
      <c r="D12">
        <f t="shared" si="2"/>
        <v>0.7</v>
      </c>
      <c r="E12">
        <f t="shared" si="3"/>
        <v>7.5643604169629648E-15</v>
      </c>
      <c r="F12">
        <f t="shared" si="4"/>
        <v>0.70000000000000751</v>
      </c>
      <c r="G12">
        <f t="shared" si="8"/>
        <v>10</v>
      </c>
      <c r="H12" t="s">
        <v>16</v>
      </c>
      <c r="I12">
        <f t="shared" si="5"/>
        <v>71.819010348142811</v>
      </c>
      <c r="J12" t="s">
        <v>83</v>
      </c>
      <c r="K12">
        <f t="shared" si="6"/>
        <v>71.169748414888531</v>
      </c>
    </row>
    <row r="13" spans="1:11" x14ac:dyDescent="0.2">
      <c r="A13">
        <f t="shared" si="7"/>
        <v>0.54999999999999993</v>
      </c>
      <c r="B13">
        <f t="shared" si="0"/>
        <v>-0.61803398874989379</v>
      </c>
      <c r="C13">
        <f t="shared" si="1"/>
        <v>-2.4270509831248384</v>
      </c>
      <c r="D13">
        <f t="shared" si="2"/>
        <v>-0.21631189606246029</v>
      </c>
      <c r="E13">
        <f t="shared" si="3"/>
        <v>-3.0450849718747319</v>
      </c>
      <c r="F13">
        <f t="shared" si="4"/>
        <v>-3.2613968679371923</v>
      </c>
      <c r="G13">
        <f t="shared" si="8"/>
        <v>11</v>
      </c>
      <c r="H13" t="s">
        <v>17</v>
      </c>
      <c r="I13">
        <f t="shared" si="5"/>
        <v>19.994147306910815</v>
      </c>
      <c r="J13" t="s">
        <v>84</v>
      </c>
      <c r="K13">
        <f t="shared" si="6"/>
        <v>19.299526598447432</v>
      </c>
    </row>
    <row r="14" spans="1:11" x14ac:dyDescent="0.2">
      <c r="A14">
        <f t="shared" si="7"/>
        <v>0.6</v>
      </c>
      <c r="B14">
        <f t="shared" si="0"/>
        <v>-1.1755705045849461</v>
      </c>
      <c r="C14">
        <f t="shared" si="1"/>
        <v>-2.8531695488854614</v>
      </c>
      <c r="D14">
        <f t="shared" si="2"/>
        <v>-0.56631189606246346</v>
      </c>
      <c r="E14">
        <f t="shared" si="3"/>
        <v>-4.0287400534704076</v>
      </c>
      <c r="F14">
        <f t="shared" si="4"/>
        <v>-4.5950519495328708</v>
      </c>
      <c r="G14">
        <f t="shared" si="8"/>
        <v>12</v>
      </c>
      <c r="H14" t="s">
        <v>18</v>
      </c>
      <c r="I14">
        <f t="shared" si="5"/>
        <v>11.409282267253493</v>
      </c>
      <c r="J14" t="s">
        <v>85</v>
      </c>
      <c r="K14">
        <f t="shared" si="6"/>
        <v>10.658381950603289</v>
      </c>
    </row>
    <row r="15" spans="1:11" x14ac:dyDescent="0.2">
      <c r="A15">
        <f t="shared" si="7"/>
        <v>0.65</v>
      </c>
      <c r="B15">
        <f t="shared" si="0"/>
        <v>-1.6180339887498947</v>
      </c>
      <c r="C15">
        <f t="shared" si="1"/>
        <v>-0.92705098312484369</v>
      </c>
      <c r="D15">
        <f t="shared" si="2"/>
        <v>0.56631189606246279</v>
      </c>
      <c r="E15">
        <f t="shared" si="3"/>
        <v>-2.5450849718747381</v>
      </c>
      <c r="F15">
        <f t="shared" si="4"/>
        <v>-1.9787730758122755</v>
      </c>
      <c r="G15">
        <f t="shared" si="8"/>
        <v>13</v>
      </c>
      <c r="H15" t="s">
        <v>19</v>
      </c>
      <c r="I15">
        <f t="shared" si="5"/>
        <v>7.9073352670669035</v>
      </c>
      <c r="J15" t="s">
        <v>86</v>
      </c>
      <c r="K15">
        <f t="shared" si="6"/>
        <v>7.0832082462461878</v>
      </c>
    </row>
    <row r="16" spans="1:11" x14ac:dyDescent="0.2">
      <c r="A16">
        <f t="shared" si="7"/>
        <v>0.70000000000000007</v>
      </c>
      <c r="B16">
        <f t="shared" si="0"/>
        <v>-1.9021130325903071</v>
      </c>
      <c r="C16">
        <f t="shared" si="1"/>
        <v>1.7633557568774223</v>
      </c>
      <c r="D16">
        <f t="shared" si="2"/>
        <v>0.21631189606246148</v>
      </c>
      <c r="E16">
        <f t="shared" si="3"/>
        <v>-0.13875727571288476</v>
      </c>
      <c r="F16">
        <f t="shared" si="4"/>
        <v>7.7554620349576719E-2</v>
      </c>
      <c r="G16">
        <f t="shared" si="8"/>
        <v>14</v>
      </c>
      <c r="H16" t="s">
        <v>20</v>
      </c>
      <c r="I16">
        <f t="shared" si="5"/>
        <v>6.020502517579243</v>
      </c>
      <c r="J16" t="s">
        <v>87</v>
      </c>
      <c r="K16">
        <f t="shared" si="6"/>
        <v>5.0966584892056481</v>
      </c>
    </row>
    <row r="17" spans="1:11" x14ac:dyDescent="0.2">
      <c r="A17">
        <f t="shared" si="7"/>
        <v>0.75000000000000011</v>
      </c>
      <c r="B17">
        <f t="shared" si="0"/>
        <v>-2</v>
      </c>
      <c r="C17">
        <f t="shared" si="1"/>
        <v>3</v>
      </c>
      <c r="D17">
        <f t="shared" si="2"/>
        <v>-0.7</v>
      </c>
      <c r="E17">
        <f t="shared" si="3"/>
        <v>1</v>
      </c>
      <c r="F17">
        <f t="shared" si="4"/>
        <v>0.30000000000000004</v>
      </c>
      <c r="G17">
        <f t="shared" si="8"/>
        <v>15</v>
      </c>
      <c r="H17" t="s">
        <v>21</v>
      </c>
      <c r="I17">
        <f t="shared" si="5"/>
        <v>4.8501782738536532</v>
      </c>
      <c r="J17" t="s">
        <v>88</v>
      </c>
      <c r="K17">
        <f t="shared" si="6"/>
        <v>3.7834671033168772</v>
      </c>
    </row>
    <row r="18" spans="1:11" x14ac:dyDescent="0.2">
      <c r="A18">
        <f t="shared" si="7"/>
        <v>0.80000000000000016</v>
      </c>
      <c r="B18">
        <f t="shared" si="0"/>
        <v>-1.9021130325903066</v>
      </c>
      <c r="C18">
        <f t="shared" si="1"/>
        <v>1.7633557568774121</v>
      </c>
      <c r="D18">
        <f t="shared" si="2"/>
        <v>0.21631189606246712</v>
      </c>
      <c r="E18">
        <f t="shared" si="3"/>
        <v>-0.13875727571289453</v>
      </c>
      <c r="F18">
        <f t="shared" si="4"/>
        <v>7.7554620349572584E-2</v>
      </c>
      <c r="G18">
        <f t="shared" si="8"/>
        <v>16</v>
      </c>
      <c r="H18" t="s">
        <v>22</v>
      </c>
      <c r="I18">
        <f t="shared" si="5"/>
        <v>4.0596485054250691</v>
      </c>
      <c r="J18" t="s">
        <v>89</v>
      </c>
      <c r="K18">
        <f t="shared" si="6"/>
        <v>2.7768479937799979</v>
      </c>
    </row>
    <row r="19" spans="1:11" x14ac:dyDescent="0.2">
      <c r="A19">
        <f t="shared" si="7"/>
        <v>0.8500000000000002</v>
      </c>
      <c r="B19">
        <f t="shared" si="0"/>
        <v>-1.618033988749894</v>
      </c>
      <c r="C19">
        <f t="shared" si="1"/>
        <v>-0.92705098312485568</v>
      </c>
      <c r="D19">
        <f t="shared" si="2"/>
        <v>0.56631189606245924</v>
      </c>
      <c r="E19">
        <f t="shared" si="3"/>
        <v>-2.5450849718747497</v>
      </c>
      <c r="F19">
        <f t="shared" si="4"/>
        <v>-1.9787730758122906</v>
      </c>
      <c r="G19">
        <f t="shared" si="8"/>
        <v>17</v>
      </c>
      <c r="H19" t="s">
        <v>23</v>
      </c>
      <c r="I19">
        <f t="shared" si="5"/>
        <v>3.4943873789797548</v>
      </c>
      <c r="J19" t="s">
        <v>90</v>
      </c>
      <c r="K19">
        <f t="shared" si="6"/>
        <v>1.8925658834249339</v>
      </c>
    </row>
    <row r="20" spans="1:11" x14ac:dyDescent="0.2">
      <c r="A20">
        <f t="shared" si="7"/>
        <v>0.90000000000000024</v>
      </c>
      <c r="B20">
        <f t="shared" si="0"/>
        <v>-1.1755705045849438</v>
      </c>
      <c r="C20">
        <f t="shared" si="1"/>
        <v>-2.8531695488854631</v>
      </c>
      <c r="D20">
        <f t="shared" si="2"/>
        <v>-0.56631189606246546</v>
      </c>
      <c r="E20">
        <f t="shared" si="3"/>
        <v>-4.0287400534704068</v>
      </c>
      <c r="F20">
        <f t="shared" si="4"/>
        <v>-4.5950519495328725</v>
      </c>
      <c r="G20">
        <f t="shared" si="8"/>
        <v>18</v>
      </c>
      <c r="H20" t="s">
        <v>24</v>
      </c>
      <c r="I20">
        <f t="shared" si="5"/>
        <v>3.0735912575438524</v>
      </c>
      <c r="J20" t="s">
        <v>91</v>
      </c>
      <c r="K20">
        <f t="shared" si="6"/>
        <v>1.7917214304263374</v>
      </c>
    </row>
    <row r="21" spans="1:11" x14ac:dyDescent="0.2">
      <c r="A21">
        <f t="shared" si="7"/>
        <v>0.95000000000000029</v>
      </c>
      <c r="B21">
        <f t="shared" si="0"/>
        <v>-0.6180339887498919</v>
      </c>
      <c r="C21">
        <f t="shared" si="1"/>
        <v>-2.4270509831248339</v>
      </c>
      <c r="D21">
        <f t="shared" si="2"/>
        <v>-0.21631189606245702</v>
      </c>
      <c r="E21">
        <f t="shared" si="3"/>
        <v>-3.0450849718747257</v>
      </c>
      <c r="F21">
        <f t="shared" si="4"/>
        <v>-3.2613968679371825</v>
      </c>
      <c r="G21">
        <f t="shared" si="8"/>
        <v>19</v>
      </c>
      <c r="H21" t="s">
        <v>25</v>
      </c>
      <c r="I21">
        <f t="shared" si="5"/>
        <v>2.7509605148929341</v>
      </c>
      <c r="J21" t="s">
        <v>92</v>
      </c>
      <c r="K21">
        <f t="shared" si="6"/>
        <v>18.826407903710816</v>
      </c>
    </row>
    <row r="22" spans="1:11" x14ac:dyDescent="0.2">
      <c r="A22">
        <f t="shared" si="7"/>
        <v>1.0000000000000002</v>
      </c>
      <c r="B22">
        <f t="shared" si="0"/>
        <v>3.0628549591415595E-15</v>
      </c>
      <c r="C22">
        <f t="shared" si="1"/>
        <v>8.453776797936267E-15</v>
      </c>
      <c r="D22">
        <f t="shared" si="2"/>
        <v>0.7</v>
      </c>
      <c r="E22">
        <f t="shared" si="3"/>
        <v>1.1516631757077827E-14</v>
      </c>
      <c r="F22">
        <f t="shared" si="4"/>
        <v>0.7000000000000115</v>
      </c>
      <c r="G22">
        <f t="shared" si="8"/>
        <v>20</v>
      </c>
      <c r="H22" t="s">
        <v>26</v>
      </c>
      <c r="I22">
        <f t="shared" si="5"/>
        <v>2.4980986006082708</v>
      </c>
      <c r="J22" t="s">
        <v>93</v>
      </c>
      <c r="K22">
        <f t="shared" si="6"/>
        <v>7.2933400109015896</v>
      </c>
    </row>
    <row r="23" spans="1:11" x14ac:dyDescent="0.2">
      <c r="A23">
        <f t="shared" si="7"/>
        <v>1.0500000000000003</v>
      </c>
      <c r="B23">
        <f t="shared" si="0"/>
        <v>0.61803398874989779</v>
      </c>
      <c r="C23">
        <f t="shared" si="1"/>
        <v>2.4270509831248503</v>
      </c>
      <c r="D23">
        <f t="shared" si="2"/>
        <v>-0.21631189606246926</v>
      </c>
      <c r="E23">
        <f t="shared" si="3"/>
        <v>3.0450849718747479</v>
      </c>
      <c r="F23">
        <f t="shared" si="4"/>
        <v>2.8287730758122787</v>
      </c>
      <c r="G23">
        <f t="shared" si="8"/>
        <v>21</v>
      </c>
      <c r="H23" t="s">
        <v>27</v>
      </c>
      <c r="I23">
        <f t="shared" si="5"/>
        <v>2.2966632701049146</v>
      </c>
      <c r="J23" t="s">
        <v>94</v>
      </c>
      <c r="K23">
        <f t="shared" si="6"/>
        <v>4.2573216770030431</v>
      </c>
    </row>
    <row r="24" spans="1:11" x14ac:dyDescent="0.2">
      <c r="A24">
        <f t="shared" si="7"/>
        <v>1.1000000000000003</v>
      </c>
      <c r="B24">
        <f t="shared" si="0"/>
        <v>1.1755705045849487</v>
      </c>
      <c r="C24">
        <f t="shared" si="1"/>
        <v>2.8531695488854547</v>
      </c>
      <c r="D24">
        <f t="shared" si="2"/>
        <v>-0.56631189606245802</v>
      </c>
      <c r="E24">
        <f t="shared" si="3"/>
        <v>4.0287400534704032</v>
      </c>
      <c r="F24">
        <f t="shared" si="4"/>
        <v>3.4624281574079454</v>
      </c>
      <c r="G24">
        <f t="shared" si="8"/>
        <v>22</v>
      </c>
      <c r="H24" t="s">
        <v>28</v>
      </c>
      <c r="I24">
        <f t="shared" si="5"/>
        <v>2.1343144185693448</v>
      </c>
      <c r="J24" t="s">
        <v>95</v>
      </c>
      <c r="K24">
        <f t="shared" si="6"/>
        <v>3.3073172533910316</v>
      </c>
    </row>
    <row r="25" spans="1:11" x14ac:dyDescent="0.2">
      <c r="A25">
        <f t="shared" si="7"/>
        <v>1.1500000000000004</v>
      </c>
      <c r="B25">
        <f t="shared" si="0"/>
        <v>1.6180339887498976</v>
      </c>
      <c r="C25">
        <f t="shared" si="1"/>
        <v>0.92705098312482948</v>
      </c>
      <c r="D25">
        <f t="shared" si="2"/>
        <v>0.56631189606246679</v>
      </c>
      <c r="E25">
        <f t="shared" si="3"/>
        <v>2.545084971874727</v>
      </c>
      <c r="F25">
        <f t="shared" si="4"/>
        <v>3.1113968679371937</v>
      </c>
      <c r="G25">
        <f t="shared" si="8"/>
        <v>23</v>
      </c>
      <c r="H25" t="s">
        <v>29</v>
      </c>
      <c r="I25">
        <f t="shared" si="5"/>
        <v>2.0024709540145644</v>
      </c>
      <c r="J25" t="s">
        <v>96</v>
      </c>
      <c r="K25">
        <f t="shared" si="6"/>
        <v>2.8119997224745594</v>
      </c>
    </row>
    <row r="26" spans="1:11" x14ac:dyDescent="0.2">
      <c r="A26">
        <f t="shared" si="7"/>
        <v>1.2000000000000004</v>
      </c>
      <c r="B26">
        <f t="shared" si="0"/>
        <v>1.9021130325903086</v>
      </c>
      <c r="C26">
        <f t="shared" si="1"/>
        <v>-1.7633557568774343</v>
      </c>
      <c r="D26">
        <f t="shared" si="2"/>
        <v>0.21631189606245488</v>
      </c>
      <c r="E26">
        <f t="shared" si="3"/>
        <v>0.13875727571287433</v>
      </c>
      <c r="F26">
        <f t="shared" si="4"/>
        <v>0.35506917177532921</v>
      </c>
      <c r="G26">
        <f t="shared" si="8"/>
        <v>24</v>
      </c>
      <c r="H26" t="s">
        <v>30</v>
      </c>
      <c r="I26">
        <f t="shared" si="5"/>
        <v>1.8950163190497862</v>
      </c>
      <c r="J26" t="s">
        <v>97</v>
      </c>
      <c r="K26">
        <f t="shared" si="6"/>
        <v>2.4985572129250908</v>
      </c>
    </row>
    <row r="27" spans="1:11" x14ac:dyDescent="0.2">
      <c r="A27">
        <f t="shared" si="7"/>
        <v>1.2500000000000004</v>
      </c>
      <c r="B27">
        <f t="shared" si="0"/>
        <v>2</v>
      </c>
      <c r="C27">
        <f t="shared" si="1"/>
        <v>-3</v>
      </c>
      <c r="D27">
        <f t="shared" si="2"/>
        <v>-0.7</v>
      </c>
      <c r="E27">
        <f t="shared" si="3"/>
        <v>-1</v>
      </c>
      <c r="F27">
        <f t="shared" si="4"/>
        <v>-1.7</v>
      </c>
      <c r="G27">
        <f t="shared" si="8"/>
        <v>25</v>
      </c>
      <c r="H27" t="s">
        <v>31</v>
      </c>
      <c r="I27">
        <f t="shared" si="5"/>
        <v>1.8074992514999835</v>
      </c>
      <c r="J27" t="s">
        <v>98</v>
      </c>
      <c r="K27">
        <f t="shared" si="6"/>
        <v>2.2808061491965947</v>
      </c>
    </row>
    <row r="28" spans="1:11" x14ac:dyDescent="0.2">
      <c r="A28">
        <f t="shared" si="7"/>
        <v>1.3000000000000005</v>
      </c>
      <c r="B28">
        <f t="shared" si="0"/>
        <v>1.9021130325903051</v>
      </c>
      <c r="C28">
        <f t="shared" si="1"/>
        <v>-1.7633557568773957</v>
      </c>
      <c r="D28">
        <f t="shared" si="2"/>
        <v>0.21631189606247611</v>
      </c>
      <c r="E28">
        <f t="shared" si="3"/>
        <v>0.13875727571290941</v>
      </c>
      <c r="F28">
        <f t="shared" si="4"/>
        <v>0.35506917177538555</v>
      </c>
      <c r="G28">
        <f t="shared" si="8"/>
        <v>26</v>
      </c>
      <c r="H28" t="s">
        <v>32</v>
      </c>
      <c r="I28">
        <f t="shared" si="5"/>
        <v>1.7366393380045839</v>
      </c>
      <c r="J28" t="s">
        <v>99</v>
      </c>
      <c r="K28">
        <f t="shared" si="6"/>
        <v>2.1222184317143231</v>
      </c>
    </row>
    <row r="29" spans="1:11" x14ac:dyDescent="0.2">
      <c r="A29">
        <f t="shared" si="7"/>
        <v>1.3500000000000005</v>
      </c>
      <c r="B29">
        <f t="shared" si="0"/>
        <v>1.6180339887498911</v>
      </c>
      <c r="C29">
        <f t="shared" si="1"/>
        <v>0.92705098312486478</v>
      </c>
      <c r="D29">
        <f t="shared" si="2"/>
        <v>0.56631189606245669</v>
      </c>
      <c r="E29">
        <f t="shared" si="3"/>
        <v>2.5450849718747559</v>
      </c>
      <c r="F29">
        <f t="shared" si="4"/>
        <v>3.1113968679372128</v>
      </c>
      <c r="G29">
        <f t="shared" si="8"/>
        <v>27</v>
      </c>
      <c r="H29" t="s">
        <v>33</v>
      </c>
      <c r="I29">
        <f t="shared" si="5"/>
        <v>1.6799954231872181</v>
      </c>
      <c r="J29" t="s">
        <v>100</v>
      </c>
      <c r="K29">
        <f t="shared" si="6"/>
        <v>2.0043863070807983</v>
      </c>
    </row>
    <row r="30" spans="1:11" x14ac:dyDescent="0.2">
      <c r="A30">
        <f t="shared" si="7"/>
        <v>1.4000000000000006</v>
      </c>
      <c r="B30">
        <f t="shared" si="0"/>
        <v>1.1755705045849412</v>
      </c>
      <c r="C30">
        <f t="shared" si="1"/>
        <v>2.8531695488854698</v>
      </c>
      <c r="D30">
        <f t="shared" si="2"/>
        <v>-0.56631189606247112</v>
      </c>
      <c r="E30">
        <f t="shared" si="3"/>
        <v>4.0287400534704112</v>
      </c>
      <c r="F30">
        <f t="shared" si="4"/>
        <v>3.4624281574079401</v>
      </c>
      <c r="G30">
        <f t="shared" si="8"/>
        <v>28</v>
      </c>
      <c r="H30" t="s">
        <v>34</v>
      </c>
      <c r="I30">
        <f t="shared" si="5"/>
        <v>1.6357535976576667</v>
      </c>
      <c r="J30" t="s">
        <v>101</v>
      </c>
      <c r="K30">
        <f t="shared" si="6"/>
        <v>1.9169594740017331</v>
      </c>
    </row>
    <row r="31" spans="1:11" x14ac:dyDescent="0.2">
      <c r="A31">
        <f t="shared" si="7"/>
        <v>1.4500000000000006</v>
      </c>
      <c r="B31">
        <f t="shared" si="0"/>
        <v>0.6180339887498888</v>
      </c>
      <c r="C31">
        <f t="shared" si="1"/>
        <v>2.4270509831248224</v>
      </c>
      <c r="D31">
        <f t="shared" si="2"/>
        <v>-0.21631189606244805</v>
      </c>
      <c r="E31">
        <f t="shared" si="3"/>
        <v>3.0450849718747111</v>
      </c>
      <c r="F31">
        <f t="shared" si="4"/>
        <v>2.8287730758122631</v>
      </c>
      <c r="G31">
        <f t="shared" si="8"/>
        <v>29</v>
      </c>
      <c r="H31" t="s">
        <v>35</v>
      </c>
      <c r="I31">
        <f t="shared" si="5"/>
        <v>1.6025774657407359</v>
      </c>
      <c r="J31" t="s">
        <v>102</v>
      </c>
      <c r="K31">
        <f t="shared" si="6"/>
        <v>1.8537178838658268</v>
      </c>
    </row>
    <row r="32" spans="1:11" x14ac:dyDescent="0.2">
      <c r="A32">
        <f t="shared" si="7"/>
        <v>1.5000000000000007</v>
      </c>
      <c r="B32">
        <f t="shared" si="0"/>
        <v>-6.3706392781125902E-15</v>
      </c>
      <c r="C32">
        <f t="shared" si="1"/>
        <v>-3.9326017787908156E-14</v>
      </c>
      <c r="D32">
        <f t="shared" si="2"/>
        <v>0.7</v>
      </c>
      <c r="E32">
        <f t="shared" si="3"/>
        <v>-4.5696657066020747E-14</v>
      </c>
      <c r="F32">
        <f t="shared" si="4"/>
        <v>0.69999999999995421</v>
      </c>
      <c r="G32">
        <f t="shared" si="8"/>
        <v>30</v>
      </c>
      <c r="H32" t="s">
        <v>36</v>
      </c>
      <c r="I32">
        <f t="shared" si="5"/>
        <v>1.5795136713624862</v>
      </c>
      <c r="J32" t="s">
        <v>103</v>
      </c>
      <c r="K32">
        <f t="shared" si="6"/>
        <v>1.8108143381321564</v>
      </c>
    </row>
    <row r="33" spans="1:11" x14ac:dyDescent="0.2">
      <c r="A33">
        <f t="shared" si="7"/>
        <v>1.5500000000000007</v>
      </c>
      <c r="B33">
        <f t="shared" si="0"/>
        <v>-0.61803398874990423</v>
      </c>
      <c r="C33">
        <f t="shared" si="1"/>
        <v>-2.4270509831248623</v>
      </c>
      <c r="D33">
        <f t="shared" si="2"/>
        <v>-0.21631189606247825</v>
      </c>
      <c r="E33">
        <f t="shared" si="3"/>
        <v>-3.0450849718747666</v>
      </c>
      <c r="F33">
        <f t="shared" si="4"/>
        <v>-3.2613968679372447</v>
      </c>
      <c r="G33">
        <f t="shared" si="8"/>
        <v>31</v>
      </c>
      <c r="H33" t="s">
        <v>37</v>
      </c>
      <c r="I33">
        <f t="shared" si="5"/>
        <v>1.565920316380115</v>
      </c>
      <c r="J33" t="s">
        <v>104</v>
      </c>
      <c r="K33">
        <f t="shared" si="6"/>
        <v>1.7859102870539156</v>
      </c>
    </row>
    <row r="34" spans="1:11" x14ac:dyDescent="0.2">
      <c r="A34">
        <f t="shared" si="7"/>
        <v>1.6000000000000008</v>
      </c>
      <c r="B34">
        <f t="shared" si="0"/>
        <v>-1.1755705045849543</v>
      </c>
      <c r="C34">
        <f t="shared" si="1"/>
        <v>-2.8531695488854485</v>
      </c>
      <c r="D34">
        <f t="shared" si="2"/>
        <v>-0.56631189606245247</v>
      </c>
      <c r="E34">
        <f t="shared" si="3"/>
        <v>-4.0287400534704023</v>
      </c>
      <c r="F34">
        <f t="shared" si="4"/>
        <v>-4.5950519495328548</v>
      </c>
      <c r="G34">
        <f t="shared" si="8"/>
        <v>32</v>
      </c>
      <c r="H34" t="s">
        <v>38</v>
      </c>
      <c r="I34">
        <f t="shared" si="5"/>
        <v>1.5614300000000001</v>
      </c>
      <c r="J34" t="s">
        <v>105</v>
      </c>
      <c r="K34">
        <f t="shared" si="6"/>
        <v>1.7777419999999999</v>
      </c>
    </row>
    <row r="35" spans="1:11" x14ac:dyDescent="0.2">
      <c r="A35">
        <f t="shared" si="7"/>
        <v>1.6500000000000008</v>
      </c>
      <c r="B35">
        <f t="shared" si="0"/>
        <v>-1.6180339887499007</v>
      </c>
      <c r="C35">
        <f t="shared" si="1"/>
        <v>-0.92705098312480005</v>
      </c>
      <c r="D35">
        <f t="shared" si="2"/>
        <v>0.56631189606247534</v>
      </c>
      <c r="E35">
        <f t="shared" si="3"/>
        <v>-2.5450849718747008</v>
      </c>
      <c r="F35">
        <f t="shared" si="4"/>
        <v>-1.9787730758122255</v>
      </c>
      <c r="G35">
        <f>G34+1</f>
        <v>33</v>
      </c>
      <c r="H35" t="s">
        <v>39</v>
      </c>
      <c r="I35">
        <f t="shared" si="5"/>
        <v>1.565920316380115</v>
      </c>
      <c r="J35" t="s">
        <v>106</v>
      </c>
      <c r="K35">
        <f t="shared" si="6"/>
        <v>1.7859102870539156</v>
      </c>
    </row>
    <row r="36" spans="1:11" x14ac:dyDescent="0.2">
      <c r="A36">
        <f t="shared" si="7"/>
        <v>1.7000000000000008</v>
      </c>
      <c r="B36">
        <f t="shared" si="0"/>
        <v>-1.9021130325903102</v>
      </c>
      <c r="C36">
        <f t="shared" si="1"/>
        <v>1.7633557568774594</v>
      </c>
      <c r="D36">
        <f t="shared" si="2"/>
        <v>0.21631189606244122</v>
      </c>
      <c r="E36">
        <f t="shared" si="3"/>
        <v>-0.13875727571285079</v>
      </c>
      <c r="F36">
        <f t="shared" si="4"/>
        <v>7.7554620349590431E-2</v>
      </c>
      <c r="G36">
        <f t="shared" si="8"/>
        <v>34</v>
      </c>
      <c r="H36" t="s">
        <v>40</v>
      </c>
      <c r="I36">
        <f t="shared" si="5"/>
        <v>1.5795136713624862</v>
      </c>
      <c r="J36" t="s">
        <v>107</v>
      </c>
      <c r="K36">
        <f t="shared" si="6"/>
        <v>1.8108143381321564</v>
      </c>
    </row>
    <row r="37" spans="1:11" x14ac:dyDescent="0.2">
      <c r="A37">
        <f t="shared" si="7"/>
        <v>1.7500000000000009</v>
      </c>
      <c r="B37">
        <f t="shared" si="0"/>
        <v>-2</v>
      </c>
      <c r="C37">
        <f t="shared" si="1"/>
        <v>3</v>
      </c>
      <c r="D37">
        <f t="shared" si="2"/>
        <v>-0.7</v>
      </c>
      <c r="E37">
        <f t="shared" si="3"/>
        <v>1</v>
      </c>
      <c r="F37">
        <f t="shared" si="4"/>
        <v>0.30000000000000004</v>
      </c>
      <c r="G37">
        <f t="shared" si="8"/>
        <v>35</v>
      </c>
      <c r="H37" t="s">
        <v>41</v>
      </c>
      <c r="I37">
        <f t="shared" si="5"/>
        <v>1.6025774657407359</v>
      </c>
      <c r="J37" t="s">
        <v>108</v>
      </c>
      <c r="K37">
        <f t="shared" si="6"/>
        <v>1.8537178838658268</v>
      </c>
    </row>
    <row r="38" spans="1:11" x14ac:dyDescent="0.2">
      <c r="A38">
        <f t="shared" si="7"/>
        <v>1.8000000000000009</v>
      </c>
      <c r="B38">
        <f t="shared" si="0"/>
        <v>-1.9021130325903042</v>
      </c>
      <c r="C38">
        <f t="shared" si="1"/>
        <v>1.7633557568773881</v>
      </c>
      <c r="D38">
        <f t="shared" si="2"/>
        <v>0.21631189606248033</v>
      </c>
      <c r="E38">
        <f t="shared" si="3"/>
        <v>-0.13875727571291607</v>
      </c>
      <c r="F38">
        <f t="shared" si="4"/>
        <v>7.7554620349564257E-2</v>
      </c>
      <c r="G38">
        <f t="shared" si="8"/>
        <v>36</v>
      </c>
      <c r="H38" t="s">
        <v>42</v>
      </c>
      <c r="I38">
        <f t="shared" si="5"/>
        <v>1.6357535976576667</v>
      </c>
      <c r="J38" t="s">
        <v>109</v>
      </c>
      <c r="K38">
        <f t="shared" si="6"/>
        <v>1.9169594740017331</v>
      </c>
    </row>
    <row r="39" spans="1:11" x14ac:dyDescent="0.2">
      <c r="A39">
        <f t="shared" si="7"/>
        <v>1.850000000000001</v>
      </c>
      <c r="B39">
        <f t="shared" si="0"/>
        <v>-1.6180339887498891</v>
      </c>
      <c r="C39">
        <f t="shared" si="1"/>
        <v>-0.92705098312489409</v>
      </c>
      <c r="D39">
        <f t="shared" si="2"/>
        <v>0.56631189606244814</v>
      </c>
      <c r="E39">
        <f t="shared" si="3"/>
        <v>-2.5450849718747834</v>
      </c>
      <c r="F39">
        <f t="shared" si="4"/>
        <v>-1.9787730758123354</v>
      </c>
      <c r="G39">
        <f t="shared" si="8"/>
        <v>37</v>
      </c>
      <c r="H39" t="s">
        <v>43</v>
      </c>
      <c r="I39">
        <f t="shared" si="5"/>
        <v>1.6799954231872181</v>
      </c>
      <c r="J39" t="s">
        <v>110</v>
      </c>
      <c r="K39">
        <f t="shared" si="6"/>
        <v>2.0043863070807983</v>
      </c>
    </row>
    <row r="40" spans="1:11" x14ac:dyDescent="0.2">
      <c r="A40">
        <f t="shared" si="7"/>
        <v>1.900000000000001</v>
      </c>
      <c r="B40">
        <f t="shared" si="0"/>
        <v>-1.1755705045849356</v>
      </c>
      <c r="C40">
        <f t="shared" si="1"/>
        <v>-2.853169548885476</v>
      </c>
      <c r="D40">
        <f t="shared" si="2"/>
        <v>-0.56631189606247667</v>
      </c>
      <c r="E40">
        <f t="shared" si="3"/>
        <v>-4.0287400534704112</v>
      </c>
      <c r="F40">
        <f t="shared" si="4"/>
        <v>-4.5950519495328876</v>
      </c>
      <c r="G40">
        <f t="shared" si="8"/>
        <v>38</v>
      </c>
      <c r="H40" t="s">
        <v>44</v>
      </c>
      <c r="I40">
        <f t="shared" si="5"/>
        <v>1.7366393380045839</v>
      </c>
      <c r="J40" t="s">
        <v>111</v>
      </c>
      <c r="K40">
        <f t="shared" si="6"/>
        <v>2.1222184317143231</v>
      </c>
    </row>
    <row r="41" spans="1:11" x14ac:dyDescent="0.2">
      <c r="A41">
        <f t="shared" si="7"/>
        <v>1.9500000000000011</v>
      </c>
      <c r="B41">
        <f t="shared" si="0"/>
        <v>-0.61803398874988225</v>
      </c>
      <c r="C41">
        <f t="shared" si="1"/>
        <v>-2.4270509831248042</v>
      </c>
      <c r="D41">
        <f t="shared" si="2"/>
        <v>-0.21631189606243434</v>
      </c>
      <c r="E41">
        <f t="shared" si="3"/>
        <v>-3.0450849718746866</v>
      </c>
      <c r="F41">
        <f t="shared" si="4"/>
        <v>-3.2613968679371208</v>
      </c>
      <c r="G41">
        <f t="shared" si="8"/>
        <v>39</v>
      </c>
      <c r="H41" t="s">
        <v>45</v>
      </c>
      <c r="I41">
        <f t="shared" si="5"/>
        <v>1.8074992514999835</v>
      </c>
      <c r="J41" t="s">
        <v>112</v>
      </c>
      <c r="K41">
        <f t="shared" si="6"/>
        <v>2.2808061491965947</v>
      </c>
    </row>
    <row r="42" spans="1:11" x14ac:dyDescent="0.2">
      <c r="A42">
        <f t="shared" si="7"/>
        <v>2.0000000000000009</v>
      </c>
      <c r="B42">
        <f t="shared" si="0"/>
        <v>9.67842359708362E-15</v>
      </c>
      <c r="C42">
        <f t="shared" si="1"/>
        <v>3.822383566867554E-14</v>
      </c>
      <c r="D42">
        <f t="shared" si="2"/>
        <v>0.7</v>
      </c>
      <c r="E42">
        <f t="shared" si="3"/>
        <v>4.7902259265759161E-14</v>
      </c>
      <c r="F42">
        <f t="shared" si="4"/>
        <v>0.70000000000004781</v>
      </c>
      <c r="G42">
        <f t="shared" si="8"/>
        <v>40</v>
      </c>
      <c r="H42" t="s">
        <v>46</v>
      </c>
      <c r="I42">
        <f t="shared" si="5"/>
        <v>1.8950163190497862</v>
      </c>
      <c r="J42" t="s">
        <v>113</v>
      </c>
      <c r="K42">
        <f t="shared" si="6"/>
        <v>2.4985572129250908</v>
      </c>
    </row>
    <row r="43" spans="1:11" x14ac:dyDescent="0.2">
      <c r="A43">
        <f t="shared" si="7"/>
        <v>2.0500000000000007</v>
      </c>
      <c r="B43">
        <f t="shared" si="0"/>
        <v>0.61803398874990401</v>
      </c>
      <c r="C43">
        <f t="shared" si="1"/>
        <v>2.4270509831248619</v>
      </c>
      <c r="D43">
        <f t="shared" si="2"/>
        <v>-0.21631189606247775</v>
      </c>
      <c r="E43">
        <f t="shared" si="3"/>
        <v>3.0450849718747657</v>
      </c>
      <c r="F43">
        <f t="shared" si="4"/>
        <v>2.828773075812288</v>
      </c>
      <c r="G43">
        <f t="shared" si="8"/>
        <v>41</v>
      </c>
      <c r="H43" t="s">
        <v>47</v>
      </c>
      <c r="I43">
        <f t="shared" si="5"/>
        <v>2.0024709540145644</v>
      </c>
      <c r="J43" t="s">
        <v>114</v>
      </c>
      <c r="K43">
        <f t="shared" si="6"/>
        <v>2.8119997224745594</v>
      </c>
    </row>
    <row r="44" spans="1:11" x14ac:dyDescent="0.2">
      <c r="A44">
        <f t="shared" si="7"/>
        <v>2.1000000000000005</v>
      </c>
      <c r="B44">
        <f t="shared" si="0"/>
        <v>1.1755705045849512</v>
      </c>
      <c r="C44">
        <f t="shared" si="1"/>
        <v>2.853169548885452</v>
      </c>
      <c r="D44">
        <f t="shared" si="2"/>
        <v>-0.56631189606245569</v>
      </c>
      <c r="E44">
        <f t="shared" si="3"/>
        <v>4.0287400534704032</v>
      </c>
      <c r="F44">
        <f t="shared" si="4"/>
        <v>3.4624281574079476</v>
      </c>
      <c r="G44">
        <f t="shared" si="8"/>
        <v>42</v>
      </c>
      <c r="H44" t="s">
        <v>48</v>
      </c>
      <c r="I44">
        <f t="shared" si="5"/>
        <v>2.1343144185693448</v>
      </c>
      <c r="J44" t="s">
        <v>115</v>
      </c>
      <c r="K44">
        <f t="shared" si="6"/>
        <v>3.3073172533910316</v>
      </c>
    </row>
    <row r="45" spans="1:11" x14ac:dyDescent="0.2">
      <c r="A45">
        <f t="shared" si="7"/>
        <v>2.1500000000000004</v>
      </c>
      <c r="B45">
        <f t="shared" si="0"/>
        <v>1.6180339887498962</v>
      </c>
      <c r="C45">
        <f t="shared" si="1"/>
        <v>0.92705098312482137</v>
      </c>
      <c r="D45">
        <f t="shared" si="2"/>
        <v>0.56631189606246912</v>
      </c>
      <c r="E45">
        <f t="shared" si="3"/>
        <v>2.5450849718747177</v>
      </c>
      <c r="F45">
        <f t="shared" si="4"/>
        <v>3.1113968679371871</v>
      </c>
      <c r="G45">
        <f t="shared" si="8"/>
        <v>43</v>
      </c>
      <c r="H45" t="s">
        <v>49</v>
      </c>
      <c r="I45">
        <f t="shared" si="5"/>
        <v>2.2966632701049146</v>
      </c>
      <c r="J45" t="s">
        <v>116</v>
      </c>
      <c r="K45">
        <f t="shared" si="6"/>
        <v>4.2573216770030431</v>
      </c>
    </row>
    <row r="46" spans="1:11" x14ac:dyDescent="0.2">
      <c r="A46">
        <f t="shared" si="7"/>
        <v>2.2000000000000002</v>
      </c>
      <c r="B46">
        <f t="shared" si="0"/>
        <v>1.902113032590308</v>
      </c>
      <c r="C46">
        <f t="shared" si="1"/>
        <v>-1.7633557568774154</v>
      </c>
      <c r="D46">
        <f t="shared" si="2"/>
        <v>0.21631189606246534</v>
      </c>
      <c r="E46">
        <f t="shared" si="3"/>
        <v>0.13875727571289254</v>
      </c>
      <c r="F46">
        <f t="shared" si="4"/>
        <v>0.35506917177535791</v>
      </c>
      <c r="G46">
        <f t="shared" si="8"/>
        <v>44</v>
      </c>
      <c r="H46" t="s">
        <v>50</v>
      </c>
      <c r="I46">
        <f t="shared" si="5"/>
        <v>2.4980986006082708</v>
      </c>
      <c r="J46" t="s">
        <v>117</v>
      </c>
      <c r="K46">
        <f t="shared" si="6"/>
        <v>7.2933400109015896</v>
      </c>
    </row>
    <row r="47" spans="1:11" x14ac:dyDescent="0.2">
      <c r="A47">
        <f t="shared" si="7"/>
        <v>2.25</v>
      </c>
      <c r="B47">
        <f t="shared" si="0"/>
        <v>2</v>
      </c>
      <c r="C47">
        <f t="shared" si="1"/>
        <v>-3</v>
      </c>
      <c r="D47">
        <f t="shared" si="2"/>
        <v>-0.7</v>
      </c>
      <c r="E47">
        <f t="shared" si="3"/>
        <v>-1</v>
      </c>
      <c r="F47">
        <f t="shared" si="4"/>
        <v>-1.7</v>
      </c>
      <c r="G47">
        <f t="shared" si="8"/>
        <v>45</v>
      </c>
      <c r="H47" t="s">
        <v>51</v>
      </c>
      <c r="I47">
        <f t="shared" si="5"/>
        <v>2.7509605148929341</v>
      </c>
      <c r="J47" t="s">
        <v>118</v>
      </c>
      <c r="K47">
        <f t="shared" si="6"/>
        <v>18.826407903710816</v>
      </c>
    </row>
    <row r="48" spans="1:11" x14ac:dyDescent="0.2">
      <c r="A48">
        <f t="shared" si="7"/>
        <v>2.2999999999999998</v>
      </c>
      <c r="B48">
        <f t="shared" si="0"/>
        <v>1.9021130325903086</v>
      </c>
      <c r="C48">
        <f t="shared" si="1"/>
        <v>-1.7633557568774321</v>
      </c>
      <c r="D48">
        <f t="shared" si="2"/>
        <v>0.21631189606245621</v>
      </c>
      <c r="E48">
        <f t="shared" si="3"/>
        <v>0.13875727571287655</v>
      </c>
      <c r="F48">
        <f t="shared" si="4"/>
        <v>0.35506917177533276</v>
      </c>
      <c r="G48">
        <f t="shared" si="8"/>
        <v>46</v>
      </c>
      <c r="H48" t="s">
        <v>52</v>
      </c>
      <c r="I48">
        <f t="shared" si="5"/>
        <v>3.0735912575438524</v>
      </c>
      <c r="J48" t="s">
        <v>119</v>
      </c>
      <c r="K48">
        <f t="shared" si="6"/>
        <v>1.7917214304263374</v>
      </c>
    </row>
    <row r="49" spans="1:11" x14ac:dyDescent="0.2">
      <c r="A49">
        <f t="shared" si="7"/>
        <v>2.3499999999999996</v>
      </c>
      <c r="B49">
        <f t="shared" si="0"/>
        <v>1.6180339887498976</v>
      </c>
      <c r="C49">
        <f t="shared" si="1"/>
        <v>0.92705098312482215</v>
      </c>
      <c r="D49">
        <f t="shared" si="2"/>
        <v>0.56631189606246901</v>
      </c>
      <c r="E49">
        <f t="shared" si="3"/>
        <v>2.5450849718747195</v>
      </c>
      <c r="F49">
        <f t="shared" si="4"/>
        <v>3.1113968679371884</v>
      </c>
      <c r="G49">
        <f t="shared" si="8"/>
        <v>47</v>
      </c>
      <c r="H49" t="s">
        <v>53</v>
      </c>
      <c r="I49">
        <f t="shared" si="5"/>
        <v>3.4943873789797548</v>
      </c>
      <c r="J49" t="s">
        <v>120</v>
      </c>
      <c r="K49">
        <f t="shared" si="6"/>
        <v>1.8925658834249339</v>
      </c>
    </row>
    <row r="50" spans="1:11" x14ac:dyDescent="0.2">
      <c r="A50">
        <f t="shared" si="7"/>
        <v>2.3999999999999995</v>
      </c>
      <c r="B50">
        <f t="shared" si="0"/>
        <v>1.1755705045849529</v>
      </c>
      <c r="C50">
        <f t="shared" si="1"/>
        <v>2.8531695488854525</v>
      </c>
      <c r="D50">
        <f t="shared" si="2"/>
        <v>-0.56631189606245591</v>
      </c>
      <c r="E50">
        <f t="shared" si="3"/>
        <v>4.0287400534704059</v>
      </c>
      <c r="F50">
        <f t="shared" si="4"/>
        <v>3.4624281574079498</v>
      </c>
      <c r="G50">
        <f t="shared" si="8"/>
        <v>48</v>
      </c>
      <c r="H50" t="s">
        <v>54</v>
      </c>
      <c r="I50">
        <f t="shared" si="5"/>
        <v>4.0596485054250691</v>
      </c>
      <c r="J50" t="s">
        <v>121</v>
      </c>
      <c r="K50">
        <f t="shared" si="6"/>
        <v>2.7768479937799979</v>
      </c>
    </row>
    <row r="51" spans="1:11" x14ac:dyDescent="0.2">
      <c r="A51">
        <f t="shared" si="7"/>
        <v>2.4499999999999993</v>
      </c>
      <c r="B51">
        <f t="shared" si="0"/>
        <v>0.61803398874990612</v>
      </c>
      <c r="C51">
        <f t="shared" si="1"/>
        <v>2.4270509831248734</v>
      </c>
      <c r="D51">
        <f t="shared" si="2"/>
        <v>-0.21631189606248688</v>
      </c>
      <c r="E51">
        <f t="shared" si="3"/>
        <v>3.0450849718747794</v>
      </c>
      <c r="F51">
        <f t="shared" si="4"/>
        <v>2.8287730758122924</v>
      </c>
      <c r="G51">
        <f t="shared" si="8"/>
        <v>49</v>
      </c>
      <c r="H51" t="s">
        <v>55</v>
      </c>
      <c r="I51">
        <f t="shared" si="5"/>
        <v>4.8501782738536532</v>
      </c>
      <c r="J51" t="s">
        <v>122</v>
      </c>
      <c r="K51">
        <f t="shared" si="6"/>
        <v>3.7834671033168772</v>
      </c>
    </row>
    <row r="52" spans="1:11" x14ac:dyDescent="0.2">
      <c r="A52">
        <f t="shared" si="7"/>
        <v>2.4999999999999991</v>
      </c>
      <c r="B52">
        <f t="shared" si="0"/>
        <v>1.1882787835548856E-14</v>
      </c>
      <c r="C52">
        <f t="shared" si="1"/>
        <v>5.8801615778170608E-14</v>
      </c>
      <c r="D52">
        <f t="shared" si="2"/>
        <v>0.7</v>
      </c>
      <c r="E52">
        <f t="shared" si="3"/>
        <v>7.0684403613719462E-14</v>
      </c>
      <c r="F52">
        <f t="shared" si="4"/>
        <v>0.70000000000007068</v>
      </c>
      <c r="G52">
        <f t="shared" si="8"/>
        <v>50</v>
      </c>
      <c r="H52" t="s">
        <v>56</v>
      </c>
      <c r="I52">
        <f t="shared" si="5"/>
        <v>6.020502517579243</v>
      </c>
      <c r="J52" t="s">
        <v>123</v>
      </c>
      <c r="K52">
        <f t="shared" si="6"/>
        <v>5.0966584892056481</v>
      </c>
    </row>
    <row r="53" spans="1:11" x14ac:dyDescent="0.2">
      <c r="A53">
        <f t="shared" si="7"/>
        <v>2.5499999999999989</v>
      </c>
      <c r="B53">
        <f t="shared" si="0"/>
        <v>-0.61803398874988358</v>
      </c>
      <c r="C53">
        <f t="shared" si="1"/>
        <v>-2.4270509831248042</v>
      </c>
      <c r="D53">
        <f t="shared" si="2"/>
        <v>-0.21631189606243467</v>
      </c>
      <c r="E53">
        <f t="shared" si="3"/>
        <v>-3.0450849718746875</v>
      </c>
      <c r="F53">
        <f t="shared" si="4"/>
        <v>-3.2613968679371221</v>
      </c>
      <c r="G53">
        <f t="shared" si="8"/>
        <v>51</v>
      </c>
      <c r="H53" t="s">
        <v>57</v>
      </c>
      <c r="I53">
        <f t="shared" si="5"/>
        <v>7.9073352670669035</v>
      </c>
      <c r="J53" t="s">
        <v>124</v>
      </c>
      <c r="K53">
        <f t="shared" si="6"/>
        <v>7.0832082462461878</v>
      </c>
    </row>
    <row r="54" spans="1:11" x14ac:dyDescent="0.2">
      <c r="A54">
        <f t="shared" si="7"/>
        <v>2.5999999999999988</v>
      </c>
      <c r="B54">
        <f t="shared" si="0"/>
        <v>-1.1755705045849338</v>
      </c>
      <c r="C54">
        <f t="shared" si="1"/>
        <v>-2.8531695488854822</v>
      </c>
      <c r="D54">
        <f t="shared" si="2"/>
        <v>-0.56631189606248233</v>
      </c>
      <c r="E54">
        <f t="shared" si="3"/>
        <v>-4.0287400534704165</v>
      </c>
      <c r="F54">
        <f t="shared" si="4"/>
        <v>-4.5950519495328992</v>
      </c>
      <c r="G54">
        <f t="shared" si="8"/>
        <v>52</v>
      </c>
      <c r="H54" t="s">
        <v>58</v>
      </c>
      <c r="I54">
        <f t="shared" si="5"/>
        <v>11.409282267253493</v>
      </c>
      <c r="J54" t="s">
        <v>125</v>
      </c>
      <c r="K54">
        <f t="shared" si="6"/>
        <v>10.658381950603289</v>
      </c>
    </row>
    <row r="55" spans="1:11" x14ac:dyDescent="0.2">
      <c r="A55">
        <f t="shared" si="7"/>
        <v>2.6499999999999986</v>
      </c>
      <c r="B55">
        <f t="shared" si="0"/>
        <v>-1.6180339887498836</v>
      </c>
      <c r="C55">
        <f t="shared" si="1"/>
        <v>-0.92705098312493395</v>
      </c>
      <c r="D55">
        <f t="shared" si="2"/>
        <v>0.5663118960624367</v>
      </c>
      <c r="E55">
        <f t="shared" si="3"/>
        <v>-2.5450849718748176</v>
      </c>
      <c r="F55">
        <f t="shared" si="4"/>
        <v>-1.9787730758123809</v>
      </c>
      <c r="G55">
        <f t="shared" si="8"/>
        <v>53</v>
      </c>
      <c r="H55" t="s">
        <v>59</v>
      </c>
      <c r="I55">
        <f t="shared" si="5"/>
        <v>19.994147306910815</v>
      </c>
      <c r="J55" t="s">
        <v>126</v>
      </c>
      <c r="K55">
        <f t="shared" si="6"/>
        <v>19.299526598447432</v>
      </c>
    </row>
    <row r="56" spans="1:11" x14ac:dyDescent="0.2">
      <c r="A56">
        <f t="shared" si="7"/>
        <v>2.6999999999999984</v>
      </c>
      <c r="B56">
        <f t="shared" si="0"/>
        <v>-1.9021130325903002</v>
      </c>
      <c r="C56">
        <f t="shared" si="1"/>
        <v>1.763355756877337</v>
      </c>
      <c r="D56">
        <f t="shared" si="2"/>
        <v>0.21631189606250839</v>
      </c>
      <c r="E56">
        <f t="shared" si="3"/>
        <v>-0.13875727571296315</v>
      </c>
      <c r="F56">
        <f t="shared" si="4"/>
        <v>7.7554620349545245E-2</v>
      </c>
      <c r="G56">
        <f t="shared" si="8"/>
        <v>54</v>
      </c>
      <c r="H56" t="s">
        <v>60</v>
      </c>
      <c r="I56">
        <f t="shared" si="5"/>
        <v>71.819010348142811</v>
      </c>
      <c r="J56" t="s">
        <v>127</v>
      </c>
      <c r="K56">
        <f t="shared" si="6"/>
        <v>71.169748414888531</v>
      </c>
    </row>
    <row r="57" spans="1:11" x14ac:dyDescent="0.2">
      <c r="A57">
        <f t="shared" si="7"/>
        <v>2.7499999999999982</v>
      </c>
      <c r="B57">
        <f t="shared" si="0"/>
        <v>-2</v>
      </c>
      <c r="C57">
        <f t="shared" si="1"/>
        <v>3</v>
      </c>
      <c r="D57">
        <f t="shared" si="2"/>
        <v>-0.7</v>
      </c>
      <c r="E57">
        <f t="shared" si="3"/>
        <v>1</v>
      </c>
      <c r="F57">
        <f t="shared" si="4"/>
        <v>0.30000000000000004</v>
      </c>
      <c r="G57">
        <f t="shared" si="8"/>
        <v>55</v>
      </c>
      <c r="H57" t="s">
        <v>61</v>
      </c>
      <c r="I57">
        <f t="shared" si="5"/>
        <v>49.357131853920329</v>
      </c>
      <c r="J57" t="s">
        <v>128</v>
      </c>
      <c r="K57">
        <f t="shared" si="6"/>
        <v>49.967482172723699</v>
      </c>
    </row>
    <row r="58" spans="1:11" x14ac:dyDescent="0.2">
      <c r="A58">
        <f t="shared" si="7"/>
        <v>2.799999999999998</v>
      </c>
      <c r="B58">
        <f t="shared" si="0"/>
        <v>-1.9021130325903142</v>
      </c>
      <c r="C58">
        <f t="shared" si="1"/>
        <v>1.7633557568775107</v>
      </c>
      <c r="D58">
        <f t="shared" si="2"/>
        <v>0.21631189606241316</v>
      </c>
      <c r="E58">
        <f t="shared" si="3"/>
        <v>-0.1387572757128035</v>
      </c>
      <c r="F58">
        <f t="shared" si="4"/>
        <v>7.7554620349609665E-2</v>
      </c>
      <c r="G58">
        <f t="shared" si="8"/>
        <v>56</v>
      </c>
      <c r="H58" t="s">
        <v>62</v>
      </c>
      <c r="I58">
        <f t="shared" si="5"/>
        <v>19.191869244106943</v>
      </c>
      <c r="J58" t="s">
        <v>129</v>
      </c>
      <c r="K58">
        <f t="shared" si="6"/>
        <v>19.765281164059214</v>
      </c>
    </row>
    <row r="59" spans="1:11" x14ac:dyDescent="0.2">
      <c r="A59">
        <f t="shared" si="7"/>
        <v>2.8499999999999979</v>
      </c>
      <c r="B59">
        <f t="shared" si="0"/>
        <v>-1.6180339887499102</v>
      </c>
      <c r="C59">
        <f t="shared" si="1"/>
        <v>-0.92705098312473</v>
      </c>
      <c r="D59">
        <f t="shared" si="2"/>
        <v>0.56631189606249555</v>
      </c>
      <c r="E59">
        <f t="shared" si="3"/>
        <v>-2.5450849718746404</v>
      </c>
      <c r="F59">
        <f t="shared" si="4"/>
        <v>-1.9787730758121449</v>
      </c>
      <c r="G59">
        <f t="shared" si="8"/>
        <v>57</v>
      </c>
      <c r="H59" t="s">
        <v>63</v>
      </c>
      <c r="I59">
        <f t="shared" si="5"/>
        <v>12.372354747051993</v>
      </c>
      <c r="J59" t="s">
        <v>130</v>
      </c>
      <c r="K59">
        <f t="shared" si="6"/>
        <v>12.903881604023843</v>
      </c>
    </row>
    <row r="60" spans="1:11" x14ac:dyDescent="0.2">
      <c r="A60">
        <f t="shared" si="7"/>
        <v>2.8999999999999977</v>
      </c>
      <c r="B60">
        <f t="shared" si="0"/>
        <v>-1.1755705045849705</v>
      </c>
      <c r="C60">
        <f t="shared" si="1"/>
        <v>-2.8531695488854161</v>
      </c>
      <c r="D60">
        <f t="shared" si="2"/>
        <v>-0.56631189606242338</v>
      </c>
      <c r="E60">
        <f t="shared" si="3"/>
        <v>-4.0287400534703863</v>
      </c>
      <c r="F60">
        <f t="shared" si="4"/>
        <v>-4.5950519495328095</v>
      </c>
      <c r="G60">
        <f t="shared" si="8"/>
        <v>58</v>
      </c>
      <c r="H60" t="s">
        <v>64</v>
      </c>
      <c r="I60">
        <f t="shared" si="5"/>
        <v>9.6178320378632112</v>
      </c>
      <c r="J60" t="s">
        <v>131</v>
      </c>
      <c r="K60">
        <f t="shared" si="6"/>
        <v>10.086269894089341</v>
      </c>
    </row>
    <row r="61" spans="1:11" x14ac:dyDescent="0.2">
      <c r="A61">
        <f t="shared" si="7"/>
        <v>2.9499999999999975</v>
      </c>
      <c r="B61">
        <f t="shared" si="0"/>
        <v>-0.61803398874992665</v>
      </c>
      <c r="C61">
        <f t="shared" si="1"/>
        <v>-2.4270509831249307</v>
      </c>
      <c r="D61">
        <f t="shared" si="2"/>
        <v>-0.21631189606252993</v>
      </c>
      <c r="E61">
        <f t="shared" si="3"/>
        <v>-3.0450849718748572</v>
      </c>
      <c r="F61">
        <f t="shared" si="4"/>
        <v>-3.2613968679373873</v>
      </c>
      <c r="G61">
        <f t="shared" si="8"/>
        <v>59</v>
      </c>
      <c r="H61" t="s">
        <v>65</v>
      </c>
      <c r="I61">
        <f t="shared" si="5"/>
        <v>8.9951731675756523</v>
      </c>
      <c r="J61" t="s">
        <v>132</v>
      </c>
      <c r="K61">
        <f t="shared" si="6"/>
        <v>9.3307932950040744</v>
      </c>
    </row>
    <row r="62" spans="1:11" x14ac:dyDescent="0.2">
      <c r="A62">
        <f t="shared" si="7"/>
        <v>2.9999999999999973</v>
      </c>
      <c r="B62">
        <f t="shared" si="0"/>
        <v>-3.6996712946981831E-14</v>
      </c>
      <c r="C62">
        <f t="shared" si="1"/>
        <v>-1.5582706722501674E-13</v>
      </c>
      <c r="D62">
        <f t="shared" si="2"/>
        <v>0.7</v>
      </c>
      <c r="E62">
        <f t="shared" si="3"/>
        <v>-1.9282378017199857E-13</v>
      </c>
      <c r="F62">
        <f t="shared" si="4"/>
        <v>0.69999999999980711</v>
      </c>
      <c r="G62">
        <f t="shared" si="8"/>
        <v>60</v>
      </c>
      <c r="H62" t="s">
        <v>66</v>
      </c>
      <c r="I62">
        <f t="shared" si="5"/>
        <v>14.463254255147143</v>
      </c>
      <c r="J62" t="s">
        <v>133</v>
      </c>
      <c r="K62">
        <f t="shared" si="6"/>
        <v>14.498642851636701</v>
      </c>
    </row>
    <row r="63" spans="1:11" x14ac:dyDescent="0.2">
      <c r="A63">
        <f t="shared" si="7"/>
        <v>3.0499999999999972</v>
      </c>
      <c r="B63">
        <f t="shared" si="0"/>
        <v>0.61803398874985627</v>
      </c>
      <c r="C63">
        <f t="shared" si="1"/>
        <v>2.4270509831247473</v>
      </c>
      <c r="D63">
        <f t="shared" si="2"/>
        <v>-0.21631189606239162</v>
      </c>
      <c r="E63">
        <f t="shared" si="3"/>
        <v>3.0450849718746036</v>
      </c>
      <c r="F63">
        <f t="shared" si="4"/>
        <v>2.828773075812212</v>
      </c>
      <c r="G63">
        <f t="shared" si="8"/>
        <v>61</v>
      </c>
      <c r="H63" t="s">
        <v>67</v>
      </c>
      <c r="I63">
        <f t="shared" si="5"/>
        <v>62.57118266958426</v>
      </c>
      <c r="J63" t="s">
        <v>134</v>
      </c>
      <c r="K63">
        <f t="shared" si="6"/>
        <v>62.862998327422197</v>
      </c>
    </row>
    <row r="64" spans="1:11" x14ac:dyDescent="0.2">
      <c r="A64">
        <f t="shared" si="7"/>
        <v>3.099999999999997</v>
      </c>
      <c r="B64">
        <f t="shared" si="0"/>
        <v>1.1755705045849163</v>
      </c>
      <c r="C64">
        <f t="shared" si="1"/>
        <v>2.8531695488855187</v>
      </c>
      <c r="D64">
        <f t="shared" si="2"/>
        <v>-0.56631189606251475</v>
      </c>
      <c r="E64">
        <f t="shared" si="3"/>
        <v>4.0287400534704352</v>
      </c>
      <c r="F64">
        <f t="shared" si="4"/>
        <v>3.4624281574079205</v>
      </c>
      <c r="G64">
        <f t="shared" si="8"/>
        <v>62</v>
      </c>
      <c r="H64" t="s">
        <v>68</v>
      </c>
      <c r="I64">
        <f t="shared" si="5"/>
        <v>13.962316219983848</v>
      </c>
      <c r="J64" t="s">
        <v>135</v>
      </c>
      <c r="K64">
        <f t="shared" si="6"/>
        <v>14.392246094542887</v>
      </c>
    </row>
    <row r="65" spans="1:11" x14ac:dyDescent="0.2">
      <c r="A65">
        <f t="shared" si="7"/>
        <v>3.1499999999999968</v>
      </c>
      <c r="B65">
        <f t="shared" si="0"/>
        <v>1.6180339887498709</v>
      </c>
      <c r="C65">
        <f t="shared" si="1"/>
        <v>0.92705098312502621</v>
      </c>
      <c r="D65">
        <f t="shared" si="2"/>
        <v>0.56631189606241006</v>
      </c>
      <c r="E65">
        <f t="shared" si="3"/>
        <v>2.5450849718748971</v>
      </c>
      <c r="F65">
        <f t="shared" si="4"/>
        <v>3.111396867937307</v>
      </c>
      <c r="G65">
        <f t="shared" si="8"/>
        <v>63</v>
      </c>
      <c r="H65" t="s">
        <v>69</v>
      </c>
      <c r="I65">
        <f t="shared" si="5"/>
        <v>10.334145081006943</v>
      </c>
      <c r="J65" t="s">
        <v>136</v>
      </c>
      <c r="K65">
        <f t="shared" si="6"/>
        <v>10.807649609621604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Ceballos, Kimiya</dc:creator>
  <cp:lastModifiedBy>Ceballos, Kimiya</cp:lastModifiedBy>
  <dcterms:created xsi:type="dcterms:W3CDTF">2026-09-15T03:42:27Z</dcterms:created>
  <dcterms:modified xsi:type="dcterms:W3CDTF">2026-09-15T05:15:50Z</dcterms:modified>
</cp:coreProperties>
</file>